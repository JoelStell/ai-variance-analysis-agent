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erprise Solutions Qtr PL" sheetId="1" state="visible" r:id="rId3"/>
    <sheet name="Enterprise Solutions YTD PL" sheetId="2" state="visible" r:id="rId4"/>
    <sheet name="Enterprise Solutions BS" sheetId="3" state="visible" r:id="rId5"/>
    <sheet name="Cloud &amp; Service Provid Qtr PL" sheetId="4" state="visible" r:id="rId6"/>
    <sheet name="Cloud &amp; Service Provid YTD PL" sheetId="5" state="visible" r:id="rId7"/>
    <sheet name="Cloud &amp; Service Provid BS" sheetId="6" state="visible" r:id="rId8"/>
    <sheet name="Security &amp; AI Qtr PL" sheetId="7" state="visible" r:id="rId9"/>
    <sheet name="Security &amp; AI YTD PL" sheetId="8" state="visible" r:id="rId10"/>
    <sheet name="Security &amp; AI BS" sheetId="9" state="visible" r:id="rId11"/>
    <sheet name="Legal Qtr PL" sheetId="10" state="visible" r:id="rId12"/>
    <sheet name="Legal YTD PL" sheetId="11" state="visible" r:id="rId13"/>
    <sheet name="Legal BS" sheetId="12" state="visible" r:id="rId14"/>
    <sheet name="Human Resources Qtr PL" sheetId="13" state="visible" r:id="rId15"/>
    <sheet name="Human Resources YTD PL" sheetId="14" state="visible" r:id="rId16"/>
    <sheet name="Human Resources BS" sheetId="15" state="visible" r:id="rId17"/>
    <sheet name="Corporate Finance Qtr PL" sheetId="16" state="visible" r:id="rId18"/>
    <sheet name="Corporate Finance YTD PL" sheetId="17" state="visible" r:id="rId19"/>
    <sheet name="Corporate Finance BS" sheetId="18" state="visible" r:id="rId20"/>
    <sheet name="IT &amp; Operations Qtr PL" sheetId="19" state="visible" r:id="rId21"/>
    <sheet name="IT &amp; Operations YTD PL" sheetId="20" state="visible" r:id="rId22"/>
    <sheet name="IT &amp; Operations B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<sst xmlns="http://schemas.openxmlformats.org/spreadsheetml/2006/main" count="554" uniqueCount="212">
  <si>
    <t xml:space="preserve">Enterprise Solutions — Quarterly P&amp;L</t>
  </si>
  <si>
    <t xml:space="preserve">Type: Operating Segment | Three Months Ended June 30, 2025 | Material: &gt;5% or &gt;$500K | ($ in thousands)</t>
  </si>
  <si>
    <t xml:space="preserve">Account</t>
  </si>
  <si>
    <t xml:space="preserve">Q2 2025</t>
  </si>
  <si>
    <t xml:space="preserve">Q1 2025</t>
  </si>
  <si>
    <t xml:space="preserve">Q2 2024</t>
  </si>
  <si>
    <t xml:space="preserve">QoQ $ Var</t>
  </si>
  <si>
    <t xml:space="preserve">QoQ %</t>
  </si>
  <si>
    <t xml:space="preserve">QoQ Explanation</t>
  </si>
  <si>
    <t xml:space="preserve">YoY $ Var</t>
  </si>
  <si>
    <t xml:space="preserve">YoY %</t>
  </si>
  <si>
    <t xml:space="preserve">YoY Explanation</t>
  </si>
  <si>
    <t xml:space="preserve">Revenue</t>
  </si>
  <si>
    <t xml:space="preserve">Product Revenue</t>
  </si>
  <si>
    <t xml:space="preserve">Favorable $8,000K QoQ: Campus refresh wins +$4,200K (3 higher-ed deals, Cisco displacement). SD-WAN SSR platform launch +$2,100K. Federal year-end spending +$3,500K. Wi-Fi 7 ASP uplift +$400K. Partially offset by seasonal timing and Q1 non-repeat -$2,200K.</t>
  </si>
  <si>
    <t xml:space="preserve">Favorable $4,500K YoY: Campus refresh +$4,200K. SD-WAN branch modernization +$2,100K. Wi-Fi 7 +$1,200K. Offset by lower ASP mix and EMEA softness -$3,000K.</t>
  </si>
  <si>
    <t xml:space="preserve">Software &amp; Subscription Revenue</t>
  </si>
  <si>
    <t xml:space="preserve">Favorable $6,000K QoQ: Mist AI ARR grew to $118M from $112M with 340 new logos (+$2,800K). NRR 128% expansion +$1,200K. Campus fabric perpetual licenses +$2,400K. SLE premium tier at 34% conversion +$600K. Offset by Junos Space renewal timing -$1,000K.</t>
  </si>
  <si>
    <t xml:space="preserve">Favorable $3,000K YoY: Mist AI new logos +$4,800K. NRR expansion +$2,200K. Higher perpetual attach +$2,400K. Offset by subscription cannibalization of perpetual -$2,000K, churn/contraction -$2,200K, and timing -$2,200K.</t>
  </si>
  <si>
    <t xml:space="preserve">Services Revenue</t>
  </si>
  <si>
    <t xml:space="preserve">Favorable $2,000K QoQ: April maintenance price increase +$600K. PS utilization 78% (from 72%) with 2 new SD-WAN migrations $1,800K. Attach rate stable 92%. Renewal rate 89%.</t>
  </si>
  <si>
    <t xml:space="preserve">Favorable $1,000K YoY: Price increase +$600K. Install base growth +$400K. Higher PS engagement complexity.</t>
  </si>
  <si>
    <t xml:space="preserve">Total Revenue</t>
  </si>
  <si>
    <t xml:space="preserve">Cost of Revenue</t>
  </si>
  <si>
    <t xml:space="preserve">Cost of Product Revenue</t>
  </si>
  <si>
    <t xml:space="preserve">Unfavorable ($3,800K) QoQ: Volume-driven from higher product revenue +$2,500K. Wi-Fi 7 higher BOM +$300K. SSR platform ramp-up $400K non-recurring. E&amp;O charge for QFX5100 EOL $350K. Freight savings from new logistics contract -$200K. Per-unit costs improving on EX4400 mix shift.</t>
  </si>
  <si>
    <t xml:space="preserve">Unfavorable ($2,500K) YoY: Volume +$2,800K. New platform BOM increases +$700K. Offset by EX4400 margin improvement -$900K and freight savings -$100K.</t>
  </si>
  <si>
    <t xml:space="preserve">Cost of Software &amp; Subscription</t>
  </si>
  <si>
    <t xml:space="preserve">Unfavorable ($1,100K) QoQ: Mist cloud hosting scaling with user growth +$600K. 2 new cloud ops engineers +$300K. Third-party license costs +$200K. Per-user cost actually declined 4% from infrastructure efficiency.</t>
  </si>
  <si>
    <t xml:space="preserve">Unfavorable ($600K) YoY: Cloud infrastructure scaling +$1,200K offset by per-user efficiency gains -$600K.</t>
  </si>
  <si>
    <t xml:space="preserve">Cost of Services</t>
  </si>
  <si>
    <t xml:space="preserve">Unfavorable ($850K) QoQ: SD-WAN subcontractors for migration projects +$400K. Volume-driven TAC costs +$250K. Spare parts replenishment +$250K. RMA rate flat at 1.8%. PS gross margin improved to 30%.</t>
  </si>
  <si>
    <t xml:space="preserve">Immaterial YoY.</t>
  </si>
  <si>
    <t xml:space="preserve">Total Cost of Revenue</t>
  </si>
  <si>
    <t xml:space="preserve">Operating Expenses</t>
  </si>
  <si>
    <t xml:space="preserve">Sales &amp; Marketing</t>
  </si>
  <si>
    <t xml:space="preserve">Unfavorable ($1,700K) QoQ: Juniper Summit event $1,200K. 8 new enterprise AEs +$600K. Channel partner Elite tier bonus $450K and growth accelerator $280K. Mist AI digital campaign +$300K. Offset by Q1 SKO non-repeat +$800K and Q1 commission catch-up +$430K.</t>
  </si>
  <si>
    <t xml:space="preserve">Favorable $800K YoY: Headcount additions +$600K. Lab refresh +$400K. New partner tier bonuses +$730K. Campaign spend +$300K. Offset by event timing -$800K and lower base commissions -$430K.</t>
  </si>
  <si>
    <t xml:space="preserve">Research &amp; Development</t>
  </si>
  <si>
    <t xml:space="preserve">Unfavorable ($800K) QoQ: 6 Bangalore engineers hired +$400K. Next-gen campus switch prototype +$180K. Marvis wired domain expansion +$220K. Mist feature velocity accelerating — 14 features shipped vs 11 in Q1.</t>
  </si>
  <si>
    <t xml:space="preserve">Immaterial</t>
  </si>
  <si>
    <t xml:space="preserve">General &amp; Administrative</t>
  </si>
  <si>
    <t xml:space="preserve">Depreciation &amp; Amortization</t>
  </si>
  <si>
    <t xml:space="preserve">Total Operating Expenses</t>
  </si>
  <si>
    <t xml:space="preserve">GROSS PROFIT</t>
  </si>
  <si>
    <t xml:space="preserve">OPERATING INCOME</t>
  </si>
  <si>
    <t xml:space="preserve">Enterprise Solutions — YTD P&amp;L</t>
  </si>
  <si>
    <t xml:space="preserve">Type: Operating Segment | Six Months Ended June 30, 2025 vs June 30, 2024 | Material: &gt;5% or &gt;$500K | ($ in thousands)</t>
  </si>
  <si>
    <t xml:space="preserve">Jun 30 2025
YTD</t>
  </si>
  <si>
    <t xml:space="preserve">Jun 30 2024
YTD</t>
  </si>
  <si>
    <t xml:space="preserve">YTD $ Var</t>
  </si>
  <si>
    <t xml:space="preserve">YTD %</t>
  </si>
  <si>
    <t xml:space="preserve">YTD Explanation</t>
  </si>
  <si>
    <t xml:space="preserve">Favorable $12,500K YTD: Broad-based product growth across routing, SD-WAN, and wireless. SSR platform +$3,800K. Federal +$3,500K. Wi-Fi 7 transition driving ASP. Campus pipeline converting ahead of plan.</t>
  </si>
  <si>
    <t xml:space="preserve">Favorable $10,000K YTD: Mist AI platform rapid adoption — 680+ new logos, NRR 128%. Marvis VNA cross-sell +$3,200K. SLE premium adoption accelerating. Software attach rates improving across campus portfolio.</t>
  </si>
  <si>
    <t xml:space="preserve">Favorable $3,000K YTD: Maintenance price increase and PS backlog of $18M driving growth.</t>
  </si>
  <si>
    <t xml:space="preserve">Unfavorable ($7,300K) YTD: Volume-driven across all product lines with BOM increases on new platforms partially offset by mix shift to higher-margin products.</t>
  </si>
  <si>
    <t xml:space="preserve">Unfavorable ($1,900K) YTD: Subscription delivery infrastructure scaling with Mist adoption. Unit economics improving despite absolute cost growth.</t>
  </si>
  <si>
    <t xml:space="preserve">Unfavorable ($1,400K) YTD: Subcontractor spend and volume-driven TAC costs.</t>
  </si>
  <si>
    <t xml:space="preserve">Unfavorable ($2,400K) YTD: Planned headcount growth, marketing investment for Mist AI, and new channel partner incentive tiers.</t>
  </si>
  <si>
    <t xml:space="preserve">Unfavorable ($1,100K) YTD: Planned R&amp;D investment in Mist/Marvis platform expansion.</t>
  </si>
  <si>
    <t xml:space="preserve">Enterprise Solutions — Balance Sheet</t>
  </si>
  <si>
    <t xml:space="preserve">Type: Operating Segment | As of June 30, 2025 vs December 31, 2024 | Material: &gt;5% or &gt;$500K | ($ in thousands)</t>
  </si>
  <si>
    <t xml:space="preserve">Jun 30, 2025</t>
  </si>
  <si>
    <t xml:space="preserve">Dec 31, 2024</t>
  </si>
  <si>
    <t xml:space="preserve">Change $</t>
  </si>
  <si>
    <t xml:space="preserve">Change %</t>
  </si>
  <si>
    <t xml:space="preserve">Explanation</t>
  </si>
  <si>
    <t xml:space="preserve">Assets</t>
  </si>
  <si>
    <t xml:space="preserve">Accounts Receivable, Net</t>
  </si>
  <si>
    <t xml:space="preserve">Increased $5,700K: DSO 48 days (from 43). Fortune 100 deal $6,200K with 60-day terms (investment grade). Normal Q2 enterprise seasonality. CECL reserve increased $300K for 2 mid-market accounts 90+ past due, both in active collection.</t>
  </si>
  <si>
    <t xml:space="preserve">Inventory, Net</t>
  </si>
  <si>
    <t xml:space="preserve">Increased $3,300K: Q3 campus refresh pre-build +$2,000K. Wi-Fi 7 AP WIP converting to FG in Q3 +$700K. Component lead time forward commitments +$600K. Weeks of supply 6.8 (target 6.0). E&amp;O reserve increased $400K including QFX5100 EOL write-down.</t>
  </si>
  <si>
    <t xml:space="preserve">Contract Assets</t>
  </si>
  <si>
    <t xml:space="preserve">Increased $1,300K: Multi-year Mist subscription deals where revenue recognized exceeds billing milestones. Top 5 contracts represent $5.8M of balance.</t>
  </si>
  <si>
    <t xml:space="preserve">Intangible Assets &amp; Capitalized Software</t>
  </si>
  <si>
    <t xml:space="preserve">Decreased ($1,000K): Mist acquisition intangibles and capitalized software development amortization per PPA and useful life schedules. New development additions $2,800K offset by $3,800K amortization.</t>
  </si>
  <si>
    <t xml:space="preserve">Total Assets</t>
  </si>
  <si>
    <t xml:space="preserve">Liabilities</t>
  </si>
  <si>
    <t xml:space="preserve">Deferred Revenue</t>
  </si>
  <si>
    <t xml:space="preserve">Increased $6,000K: Mist subscription billings outpacing recognition +$2,800K. Maintenance renewals +$1,200K. Multi-year non-current growth +$2,000K. Average remaining term 2.1 years. Q3 expected current recognition $11.2M.</t>
  </si>
  <si>
    <t xml:space="preserve">Accrued Liabilities</t>
  </si>
  <si>
    <t xml:space="preserve">Increased $1,600K: Channel rebate accrual from Q2 bookings +$600K (includes Elite tier bonus). Warranty reserve volume-driven +$300K at 1.6% rate. Customer deposits for Q3 deployments +$700K.</t>
  </si>
  <si>
    <t xml:space="preserve">Total Liabilities</t>
  </si>
  <si>
    <t xml:space="preserve">Cloud &amp; Service Provider — Quarterly P&amp;L</t>
  </si>
  <si>
    <t xml:space="preserve">Favorable $11,000K QoQ: MX 400G carrier demand +$2,200K with 2 EMEA wins. 5G RAN accelerating — Tier 1 NA deal $4,500K plus APAC $3,200K from 2 new carriers. QFX 400G hyperscaler demand +$2,800K. AI cluster networking +$4,000K. Offset by Q1 deal non-repeats and EMEA 5G timing -$5,700K.</t>
  </si>
  <si>
    <t xml:space="preserve">Favorable $5,000K YoY: 400G upgrade cycle +$2,200K. 5G global buildout +$7,700K. Hyperscaler +$2,800K. AI networking +$4,000K. Offset by enterprise DC softness and NA carrier timing -$11,700K.</t>
  </si>
  <si>
    <t xml:space="preserve">Favorable $4,000K QoQ: Apstra attach rate 62% on new DC deals +$1,200K. Paragon automation upsell at 3 SP accounts +$800K. Contrail CN2 adoption with 28 new accounts +$1,400K. Migration upgrades +$600K.</t>
  </si>
  <si>
    <t xml:space="preserve">Favorable $2,000K YoY: Apstra and Paragon growing with DC switching. CN2 platform driving migration revenue.</t>
  </si>
  <si>
    <t xml:space="preserve">Favorable $1,000K QoQ: 5G deployment services driving PS growth. Maintenance renewal rate 94% with April price increase +$400K. 2 carrier migration projects ongoing.</t>
  </si>
  <si>
    <t xml:space="preserve">Unfavorable ($5,000K) QoQ: Volume-driven from higher product revenue +$3,800K. Custom ASIC density costs +$400K. Ramp costs for new platforms +$600K. MX480 E&amp;O charge $450K. Offset by 400G optics savings from new supplier -$300K.</t>
  </si>
  <si>
    <t xml:space="preserve">Unfavorable ($2,450K) YoY: Volume +$3,500K. ASIC costs +$400K. Offset by optics -$800K and QFX leverage -$700K.</t>
  </si>
  <si>
    <t xml:space="preserve">Unfavorable ($800K) QoQ: Apstra cloud hosting scaling +$500K. Paragon platform +$200K. Protocol licenses +$100K.</t>
  </si>
  <si>
    <t xml:space="preserve">Unfavorable ($1,500K) QoQ: MWC Barcelona $800K. 3 new SP account directors +$400K. Hyperscaler team expansion +$200K. SP partner rebates +$300K. Hyperscaler referral fees +$320K. Offset by Q1 events -$400K and true-up -$120K.</t>
  </si>
  <si>
    <t xml:space="preserve">Unfavorable ($800K) YoY: Headcount growth and partner program expansion.</t>
  </si>
  <si>
    <t xml:space="preserve">Unfavorable ($1,000K) QoQ: Custom ASIC tapeout prep +$400K. Apstra 5.0 development +$300K. 8 engineers hired +$300K.</t>
  </si>
  <si>
    <t xml:space="preserve">Cloud &amp; Service Provider — YTD P&amp;L</t>
  </si>
  <si>
    <t xml:space="preserve">Favorable $14,000K YTD: Broad strength across 400G carrier upgrades, 5G infrastructure deployment, and AI data center switching demand.</t>
  </si>
  <si>
    <t xml:space="preserve">Favorable $9,000K YTD: Software attach rates improving across both Apstra/Paragon and cloud management platforms.</t>
  </si>
  <si>
    <t xml:space="preserve">Favorable $1,400K YTD: 5G services demand and maintenance price increase.</t>
  </si>
  <si>
    <t xml:space="preserve">Unfavorable ($6,900K) YTD: Volume and custom silicon costs driving increase. Optics pricing improving.</t>
  </si>
  <si>
    <t xml:space="preserve">Unfavorable ($1,200K) YTD: Software delivery infrastructure scaling with adoption.</t>
  </si>
  <si>
    <t xml:space="preserve">Unfavorable ($725K) YTD: Subcontractor and TAC costs.</t>
  </si>
  <si>
    <t xml:space="preserve">Unfavorable ($2,300K) YTD: Planned investment in SP, hyperscaler coverage, and channel programs.</t>
  </si>
  <si>
    <t xml:space="preserve">Unfavorable ($1,400K) YTD: ASIC and software development investment.</t>
  </si>
  <si>
    <t xml:space="preserve">Cloud &amp; Service Provider — Balance Sheet</t>
  </si>
  <si>
    <t xml:space="preserve">Increased $4,800K: DSO 52 days (from 48). Carrier payment terms 45-60 days. Tier 1 account $4,800K at 55 days — normal for SP vertical. CECL increased $200K for emerging market carrier monitoring.</t>
  </si>
  <si>
    <t xml:space="preserve">Increased $3,400K: 400G/800G build-ahead +$2,000K. Custom ASIC inventory +$800K. Carrier lead time commitments require 8-10 week forward stock +$600K.</t>
  </si>
  <si>
    <t xml:space="preserve">Capitalized Development &amp; Intangibles</t>
  </si>
  <si>
    <t xml:space="preserve">Increased $1,300K: 5G deployment revenue recognized ahead of billing milestones. $3,200K relates to Tier 1 NA carrier project.</t>
  </si>
  <si>
    <t xml:space="preserve">Increased $4,500K: SP maintenance renewals billed annually +$1,800K. Cloud management subscriptions +$1,200K. Non-current multi-year growth +$1,500K. Average remaining term 2.4 years.</t>
  </si>
  <si>
    <t xml:space="preserve">Increased $2,300K: Customer deposits for 5G projects +$1,500K. Warranty reserve at 1.8% +$300K. Earnout liability for 128T/Paragon DECREASED $800K from milestone remeasurement. Partner rebates +$400K. Net increase after earnout offset.</t>
  </si>
  <si>
    <t xml:space="preserve">Security &amp; AI — Quarterly P&amp;L</t>
  </si>
  <si>
    <t xml:space="preserve">Favorable $1,500K QoQ: SRX4600/5800 enterprise refresh with Palo Alto displacement at 2 financial services accounts +$2,100K. Federal +$1,800K. ATP attach rate increasing to 38% with ATP800 ASP uplift +$300K. Offset by mid-market softness -$2,700K.</t>
  </si>
  <si>
    <t xml:space="preserve">Favorable $700K YoY: Competitive displacement and product refresh driving growth.</t>
  </si>
  <si>
    <t xml:space="preserve">Favorable $4,500K QoQ: Security subscription attach 72% on new SRX +$1,800K. IDP/AppSecure bundle ARPU growth +$700K with 285 new logos. SecIntel platform 180 new accounts +$1,400K with ARPU $18.5K (from $16.2K) +$600K.</t>
  </si>
  <si>
    <t xml:space="preserve">Favorable $3,000K YoY: Strong subscription attach, bundle adoption, and SecIntel platform growth.</t>
  </si>
  <si>
    <t xml:space="preserve">Favorable $1,700K QoQ: MSS growing from 3 MSSP partners activated Q1 +$600K. 12 new direct MSS customers +$400K. 2 financial services security architecture projects $1,400K. Maintenance renewal rate 91%. Support migration driving attach.</t>
  </si>
  <si>
    <t xml:space="preserve">Favorable $800K YoY: MSS platform scaling with partner and direct channels. PS security consulting demand.</t>
  </si>
  <si>
    <t xml:space="preserve">Unfavorable ($400K) QoQ: Volume-driven. ATP800 higher BOM partially offset by SRX volume leverage. Combined hardware margin 51%.</t>
  </si>
  <si>
    <t xml:space="preserve">Unfavorable ($875K) QoQ: Threat intelligence data feeds +$400K. SecIntel cloud infrastructure +$300K. ML model training compute $320K. Offset by delivery efficiency -$145K.</t>
  </si>
  <si>
    <t xml:space="preserve">Unfavorable ($550K) YoY: SaaS delivery infrastructure scaling with user growth.</t>
  </si>
  <si>
    <t xml:space="preserve">Unfavorable ($950K) QoQ: 8 SOC analysts hired Q1 now fully ramped +$350K. Tier 3 retention bonuses +$120K. MSS platform licensing +$80K. Pen-test subcontractors +$200K. PS volume +$150K. Maintenance TAC stable.</t>
  </si>
  <si>
    <t xml:space="preserve">Unfavorable ($440K) YoY: SOC staffing and subcontractor scaling.</t>
  </si>
  <si>
    <t xml:space="preserve">Unfavorable ($1,000K) QoQ: RSA Conference $650K. 6 new security sales specialists +$300K. MSSP partner recruitment $220K. 3 MSSP commissions at 15% of first-year MSS +$300K. Offset by Q1 SKO -$470K.</t>
  </si>
  <si>
    <t xml:space="preserve">Unfavorable ($1,500K) QoQ: 6 ML engineers +$500K. GPU compute for model training +$800K. Data labeling +$250K. SRX OS development +$200K. IDP/AppSecure ML +$150K. Offset by Q1 one-time AI setup -$550K. Covers ~100%.</t>
  </si>
  <si>
    <t xml:space="preserve">Unfavorable ($700K) YoY: AI/ML team scaling and security software investment.</t>
  </si>
  <si>
    <t xml:space="preserve">Security &amp; AI — YTD P&amp;L</t>
  </si>
  <si>
    <t xml:space="preserve">Favorable $2,200K YTD: Enterprise refresh cycle and competitive wins.</t>
  </si>
  <si>
    <t xml:space="preserve">Favorable $11,500K YTD: Security subscription and SaaS platforms scaling rapidly. SecIntel fastest-growing product line.</t>
  </si>
  <si>
    <t xml:space="preserve">Favorable $4,900K YTD: MSS revenue roughly doubled YoY on MSSP partner activation plus strong PS demand.</t>
  </si>
  <si>
    <t xml:space="preserve">Unfavorable ($775K) YTD: Volume-driven increase with stable margins.</t>
  </si>
  <si>
    <t xml:space="preserve">Unfavorable ($1,575K) YTD: Delivery costs scaling with growing SaaS base.</t>
  </si>
  <si>
    <t xml:space="preserve">Unfavorable ($2,600K) YTD: MSS delivery costs scaling with approximately 100% revenue growth.</t>
  </si>
  <si>
    <t xml:space="preserve">Unfavorable ($2,300K) YTD: Planned security go-to-market and MSSP channel investment.</t>
  </si>
  <si>
    <t xml:space="preserve">Unfavorable ($4,700K) YTD: Aggressive AI/ML investment — headcount doubled, compute infrastructure scaling, plus continued security software development.</t>
  </si>
  <si>
    <t xml:space="preserve">Security &amp; AI — Balance Sheet</t>
  </si>
  <si>
    <t xml:space="preserve">Increased $1,900K: DSO 39 days. Security deals have shorter payment cycles. No concentration risk. CECL increased $100K from expanded mid-market base.</t>
  </si>
  <si>
    <t xml:space="preserve">Increased $400K: SRX and ATP inventory. 5.2 weeks supply (target 5.0). Reserve $400K for SRX345 EOL.</t>
  </si>
  <si>
    <t xml:space="preserve">Decreased ($500K): AI/ML model development additions $2,000K and amortization on production models $500K. Acquired security technology and threat intelligence database amortizing per PPA ($1,500K combined). Net decrease from PPA amortization exceeding new development.</t>
  </si>
  <si>
    <t xml:space="preserve">Increased $700K: Security subscription and MSS deals with revenue recognized ahead of billing milestones.</t>
  </si>
  <si>
    <t xml:space="preserve">Deferred Revenue - Current</t>
  </si>
  <si>
    <t xml:space="preserve">Decreased ($2,500K): Security subscription renewals declining as customers shift to monthly billing. Expected to continue trending down through Q3.</t>
  </si>
  <si>
    <t xml:space="preserve">Deferred Revenue - Non-Current</t>
  </si>
  <si>
    <t xml:space="preserve">Increased $1,500K: Multi-year SecIntel 3-year deals driving growth. Average remaining term 1.9 years.</t>
  </si>
  <si>
    <t xml:space="preserve">Legal — Quarterly P&amp;L</t>
  </si>
  <si>
    <t xml:space="preserve">Type: Corporate Function | Three Months Ended June 30, 2025 | Material: &gt;5% or &gt;$500K | ($ in thousands)</t>
  </si>
  <si>
    <t xml:space="preserve">Legal Expenses</t>
  </si>
  <si>
    <t xml:space="preserve">Unfavorable ($635K) QoQ: Centripetal patent settlement executed $1,500K (was accrued $2,000K in Q1 — $500K favorable to prior accrual). Outside counsel decreased $300K from Centripetal resolution but SEC HPE merger correspondence +$100K. Net unfavorable driven by settlement timing. Other legal immaterial.</t>
  </si>
  <si>
    <t xml:space="preserve">Legal — YTD P&amp;L</t>
  </si>
  <si>
    <t xml:space="preserve">Type: Corporate Function | Six Months Ended June 30, 2025 vs June 30, 2024 | Material: &gt;5% or &gt;$500K | ($ in thousands)</t>
  </si>
  <si>
    <t xml:space="preserve">Legal — Balance Sheet</t>
  </si>
  <si>
    <t xml:space="preserve">Type: Corporate Function | As of June 30, 2025 vs December 31, 2024 | Material: &gt;5% or &gt;$500K | ($ in thousands)</t>
  </si>
  <si>
    <t xml:space="preserve">Legal Assets</t>
  </si>
  <si>
    <t xml:space="preserve">Decreased ($900K): Prepaid retainer draw-down ($150K). IP assets amortization ($500K). Settlement receivable collected ($250K — insurance recovery on Centripetal, $500K remaining).</t>
  </si>
  <si>
    <t xml:space="preserve">Legal Liabilities</t>
  </si>
  <si>
    <t xml:space="preserve">Increased $1,300K: Accrued litigation liability up $700K from updated loss estimates on 2 active patent cases per Q2 outside counsel assessments. Contingent liability up $400K — possible loss range $2M-$5M per outside counsel, disclosed in footnotes. Accrued outside counsel fees +$200K from Q2 invoices not yet processed.</t>
  </si>
  <si>
    <t xml:space="preserve">Human Resources — Quarterly P&amp;L</t>
  </si>
  <si>
    <t xml:space="preserve">Compensation &amp; Benefits</t>
  </si>
  <si>
    <t xml:space="preserve">Unfavorable ($500K) QoQ: Medical plan costs +4% from renewal +$200K. 401(k) match increased to 5% +$100K. Hiring slowed (42 vs 58 Q1) — recruitment costs down $300K from internal sourcing. Merit increases +$50K. Retained search for 2 VP roles $180K. Net unfavorable from benefits offset partially by lower recruiting.</t>
  </si>
  <si>
    <t xml:space="preserve">Severance &amp; Restructuring</t>
  </si>
  <si>
    <t xml:space="preserve">Unfavorable ($600K) QoQ: 18 positions eliminated in corporate optimization. Average severance 12 weeks. WARN Act not triggered (under threshold).</t>
  </si>
  <si>
    <t xml:space="preserve">Favorable $400K YoY: Q2 2024 had larger restructuring ($1,200K vs $800K this quarter).</t>
  </si>
  <si>
    <t xml:space="preserve">Other HR Expenses</t>
  </si>
  <si>
    <t xml:space="preserve">Immaterial.</t>
  </si>
  <si>
    <t xml:space="preserve">Human Resources — YTD P&amp;L</t>
  </si>
  <si>
    <t xml:space="preserve">Favorable $600K YTD: Lower overall restructuring activity vs prior year.</t>
  </si>
  <si>
    <t xml:space="preserve">Human Resources — Balance Sheet</t>
  </si>
  <si>
    <t xml:space="preserve">HR Assets</t>
  </si>
  <si>
    <t xml:space="preserve">Compensation &amp; Benefits Liabilities</t>
  </si>
  <si>
    <t xml:space="preserve">Increased $6,300K: Accrued bonus at 105% of target +$3,700K (individual multipliers not yet applied). Severance accrual for 18 positions +$1,300K ($800K paid, $1,300K new). PTO seasonal increase +$400K. Post-retirement obligation +$300K per ASC 715 (rate 5.25%). Payroll accrual +$300K from merit increases. Deferred comp mirrors assets +$300K.</t>
  </si>
  <si>
    <t xml:space="preserve">Corporate Finance — Quarterly P&amp;L</t>
  </si>
  <si>
    <t xml:space="preserve">Other Income / (Expense)</t>
  </si>
  <si>
    <t xml:space="preserve">Interest &amp; Investment Income</t>
  </si>
  <si>
    <t xml:space="preserve">Favorable $900K QoQ: Higher cash balances from Q1 collections +$200K. Money market yields 5.15% +$100K. AFS portfolio MTM gain from spread tightening +$400K (Q1 had $200K loss). Net favorable from both yield and MTM.</t>
  </si>
  <si>
    <t xml:space="preserve">Foreign Currency Gain / (Loss)</t>
  </si>
  <si>
    <t xml:space="preserve">Unfavorable ($350K) QoQ: EUR/USD hedge loss -$200K. EMEA receivables revaluation -$150K. Hedge effectiveness 94%.</t>
  </si>
  <si>
    <t xml:space="preserve">Favorable $150K YoY: Less FX headwind than Q2 2024.</t>
  </si>
  <si>
    <t xml:space="preserve">Total Other Income / (Expense)</t>
  </si>
  <si>
    <t xml:space="preserve">Corporate Function Expenses</t>
  </si>
  <si>
    <t xml:space="preserve">Corporate Finance — YTD P&amp;L</t>
  </si>
  <si>
    <t xml:space="preserve">Favorable $500K YTD: Higher rates and positive MTM.</t>
  </si>
  <si>
    <t xml:space="preserve">Favorable $250K YTD: Net positive from hedge program.</t>
  </si>
  <si>
    <t xml:space="preserve">Corporate Finance — Balance Sheet</t>
  </si>
  <si>
    <t xml:space="preserve">Cash &amp; Short-Term Investments</t>
  </si>
  <si>
    <t xml:space="preserve">Goodwill &amp; Intangibles</t>
  </si>
  <si>
    <t xml:space="preserve">PP&amp;E &amp; ROU Assets</t>
  </si>
  <si>
    <t xml:space="preserve">Decreased ($2,700K): Depreciation $1,800K and lease amortization $1,200K exceed capex $300K. 2 office lease renewals executed with minimal impact.</t>
  </si>
  <si>
    <t xml:space="preserve">Deferred Tax Asset &amp; Other</t>
  </si>
  <si>
    <t xml:space="preserve">Increased $800K: DTA up $500K from stock comp deductions and R&amp;D credit carryforward. Other LT assets +$300K. No valuation allowance needed per cumulative income test.</t>
  </si>
  <si>
    <t xml:space="preserve">Intercompany Receivables</t>
  </si>
  <si>
    <t xml:space="preserve">Increased $1,300K: Management fee receivables from operating segments. IC reconciliation complete — nets to zero with payables.</t>
  </si>
  <si>
    <t xml:space="preserve">Accounts Payable &amp; Accrued</t>
  </si>
  <si>
    <t xml:space="preserve">Increased $3,700K: AP up $3,000K from inventory build (DPO 42 from 38). Income tax payable +$700K from Q2 provision (ETR 21.5%).</t>
  </si>
  <si>
    <t xml:space="preserve">Debt</t>
  </si>
  <si>
    <t xml:space="preserve">Decreased ($5,000K): Principal payment per amortization schedule. No new borrowings. Next maturity $10M in Q4.</t>
  </si>
  <si>
    <t xml:space="preserve">Deferred Revenue &amp; Contract Liabilities</t>
  </si>
  <si>
    <t xml:space="preserve">Increased $2,500K: Multi-year enterprise agreements and prepaid maintenance billings.</t>
  </si>
  <si>
    <t xml:space="preserve">Lease &amp; Other LT Liabilities</t>
  </si>
  <si>
    <t xml:space="preserve">Decreased ($1,400K): Lease liability amortization per ASC 842 ($1,300K). Deferred tax liability up $400K from accelerated depreciation. Other LT liabilities down $500K.</t>
  </si>
  <si>
    <t xml:space="preserve">Intercompany Payables</t>
  </si>
  <si>
    <t xml:space="preserve">Increased $1,300K: Mirrors IC receivables. Eliminates in consolidation.</t>
  </si>
  <si>
    <t xml:space="preserve">Stockholders Equity</t>
  </si>
  <si>
    <t xml:space="preserve">Increased $2,300K: Net income $7,000K. Stock comp +$2,000K. Options/ESPP +$800K. Less dividends ($3,000K). Less treasury stock repurchase ($3,000K — 85K shares at avg $35.29). AOCI decrease ($1,500K) from FX translation ($400K), pension remeasurement ($500K), offset by AFS gain +$200K.</t>
  </si>
  <si>
    <t xml:space="preserve">IT &amp; Operations — Quarterly P&amp;L</t>
  </si>
  <si>
    <t xml:space="preserve">IT &amp; Operations Expenses</t>
  </si>
  <si>
    <t xml:space="preserve">Unfavorable ($820K) QoQ: Cloud infrastructure (AWS) scaling for Mist +$200K with RI utilization 82%. HPE integration planning consultants (Accenture) +$200K. ERP migration assessment +$100K. IT staff 4 new hires +$200K. Cybersecurity pen test +$120K. Offset by GCP workload migration complete -$100K. Facilities and depreciation flat.</t>
  </si>
  <si>
    <t xml:space="preserve">IT &amp; Operations — YTD P&amp;L</t>
  </si>
  <si>
    <t xml:space="preserve">Unfavorable ($790K) YTD: Cloud infrastructure scaling and M&amp;A integration preparation costs.</t>
  </si>
  <si>
    <t xml:space="preserve">IT &amp; Operations — Balance Sheet</t>
  </si>
  <si>
    <t xml:space="preserve">IT Assets</t>
  </si>
  <si>
    <t xml:space="preserve">IT Liabilities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</si>
</sst>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33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44546A"/>
        <bgColor rgb="FF2F5496"/>
      </patternFill>
    </fill>
    <fill>
      <patternFill patternType="solid">
        <fgColor rgb="FFDCE6F1"/>
        <bgColor rgb="FFD6DCE4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2F2F2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FF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FF6600"/>
      <rgbColor rgb="FF44546A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46.25" hidden="false" customHeight="false" outlineLevel="0" collapsed="false">
      <c r="A6" s="5" t="s">
        <v>13</v>
      </c>
      <c r="B6" s="6" t="n">
        <v>84000000</v>
      </c>
      <c r="C6" s="6" t="n">
        <v>76000000</v>
      </c>
      <c r="D6" s="6" t="n">
        <v>79500000</v>
      </c>
      <c r="E6" s="7" t="n">
        <f aca="false">B6-C6</f>
        <v>8000000</v>
      </c>
      <c r="F6" s="8" t="n">
        <f aca="false">IF(C6=0,"-",E6/ABS(C6))</f>
        <v>0.105263157894737</v>
      </c>
      <c r="G6" s="9" t="s">
        <v>14</v>
      </c>
      <c r="H6" s="7" t="n">
        <f aca="false">B6-D6</f>
        <v>4500000</v>
      </c>
      <c r="I6" s="8" t="n">
        <f aca="false">IF(D6=0,"-",H6/ABS(D6))</f>
        <v>0.0566037735849057</v>
      </c>
      <c r="J6" s="9" t="s">
        <v>15</v>
      </c>
    </row>
    <row r="7" customFormat="false" ht="46.25" hidden="false" customHeight="false" outlineLevel="0" collapsed="false">
      <c r="A7" s="5" t="s">
        <v>16</v>
      </c>
      <c r="B7" s="6" t="n">
        <v>50000000</v>
      </c>
      <c r="C7" s="6" t="n">
        <v>44000000</v>
      </c>
      <c r="D7" s="6" t="n">
        <v>47000000</v>
      </c>
      <c r="E7" s="7" t="n">
        <f aca="false">B7-C7</f>
        <v>6000000</v>
      </c>
      <c r="F7" s="8" t="n">
        <f aca="false">IF(C7=0,"-",E7/ABS(C7))</f>
        <v>0.136363636363636</v>
      </c>
      <c r="G7" s="9" t="s">
        <v>17</v>
      </c>
      <c r="H7" s="7" t="n">
        <f aca="false">B7-D7</f>
        <v>3000000</v>
      </c>
      <c r="I7" s="8" t="n">
        <f aca="false">IF(D7=0,"-",H7/ABS(D7))</f>
        <v>0.0638297872340426</v>
      </c>
      <c r="J7" s="9" t="s">
        <v>18</v>
      </c>
    </row>
    <row r="8" customFormat="false" ht="35.05" hidden="false" customHeight="false" outlineLevel="0" collapsed="false">
      <c r="A8" s="5" t="s">
        <v>19</v>
      </c>
      <c r="B8" s="6" t="n">
        <v>47000000</v>
      </c>
      <c r="C8" s="6" t="n">
        <v>45000000</v>
      </c>
      <c r="D8" s="6" t="n">
        <v>46000000</v>
      </c>
      <c r="E8" s="7" t="n">
        <f aca="false">B8-C8</f>
        <v>2000000</v>
      </c>
      <c r="F8" s="8" t="n">
        <f aca="false">IF(C8=0,"-",E8/ABS(C8))</f>
        <v>0.0444444444444444</v>
      </c>
      <c r="G8" s="9" t="s">
        <v>20</v>
      </c>
      <c r="H8" s="7" t="n">
        <f aca="false">B8-D8</f>
        <v>1000000</v>
      </c>
      <c r="I8" s="8" t="n">
        <f aca="false">IF(D8=0,"-",H8/ABS(D8))</f>
        <v>0.0217391304347826</v>
      </c>
      <c r="J8" s="9" t="s">
        <v>21</v>
      </c>
    </row>
    <row r="9" customFormat="false" ht="15" hidden="false" customHeight="false" outlineLevel="0" collapsed="false">
      <c r="A9" s="10" t="s">
        <v>22</v>
      </c>
      <c r="B9" s="11" t="n">
        <f aca="false">B6+B7+B8</f>
        <v>181000000</v>
      </c>
      <c r="C9" s="11" t="n">
        <f aca="false">C6+C7+C8</f>
        <v>165000000</v>
      </c>
      <c r="D9" s="11" t="n">
        <f aca="false">D6+D7+D8</f>
        <v>172500000</v>
      </c>
      <c r="E9" s="11" t="n">
        <f aca="false">E6+E7+E8</f>
        <v>16000000</v>
      </c>
      <c r="F9" s="12"/>
      <c r="G9" s="12"/>
      <c r="H9" s="11" t="n">
        <f aca="false">H6+H7+H8</f>
        <v>8500000</v>
      </c>
      <c r="I9" s="12"/>
      <c r="J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46.25" hidden="false" customHeight="false" outlineLevel="0" collapsed="false">
      <c r="A12" s="5" t="s">
        <v>24</v>
      </c>
      <c r="B12" s="6" t="n">
        <v>45100000</v>
      </c>
      <c r="C12" s="6" t="n">
        <v>41300000</v>
      </c>
      <c r="D12" s="6" t="n">
        <v>42600000</v>
      </c>
      <c r="E12" s="7" t="n">
        <f aca="false">-(B12-C12)</f>
        <v>-3800000</v>
      </c>
      <c r="F12" s="8" t="n">
        <f aca="false">IF(C12=0,"-",E12/ABS(C12))</f>
        <v>-0.0920096852300242</v>
      </c>
      <c r="G12" s="9" t="s">
        <v>25</v>
      </c>
      <c r="H12" s="7" t="n">
        <f aca="false">-(B12-D12)</f>
        <v>-2500000</v>
      </c>
      <c r="I12" s="8" t="n">
        <f aca="false">IF(D12=0,"-",H12/ABS(D12))</f>
        <v>-0.0586854460093897</v>
      </c>
      <c r="J12" s="9" t="s">
        <v>26</v>
      </c>
    </row>
    <row r="13" customFormat="false" ht="35.05" hidden="false" customHeight="false" outlineLevel="0" collapsed="false">
      <c r="A13" s="5" t="s">
        <v>27</v>
      </c>
      <c r="B13" s="6" t="n">
        <v>8900000</v>
      </c>
      <c r="C13" s="6" t="n">
        <v>7800000</v>
      </c>
      <c r="D13" s="6" t="n">
        <v>8300000</v>
      </c>
      <c r="E13" s="7" t="n">
        <f aca="false">-(B13-C13)</f>
        <v>-1100000</v>
      </c>
      <c r="F13" s="8" t="n">
        <f aca="false">IF(C13=0,"-",E13/ABS(C13))</f>
        <v>-0.141025641025641</v>
      </c>
      <c r="G13" s="9" t="s">
        <v>28</v>
      </c>
      <c r="H13" s="7" t="n">
        <f aca="false">-(B13-D13)</f>
        <v>-600000</v>
      </c>
      <c r="I13" s="8" t="n">
        <f aca="false">IF(D13=0,"-",H13/ABS(D13))</f>
        <v>-0.072289156626506</v>
      </c>
      <c r="J13" s="9" t="s">
        <v>29</v>
      </c>
    </row>
    <row r="14" customFormat="false" ht="35.05" hidden="false" customHeight="false" outlineLevel="0" collapsed="false">
      <c r="A14" s="5" t="s">
        <v>30</v>
      </c>
      <c r="B14" s="6" t="n">
        <v>17150000</v>
      </c>
      <c r="C14" s="6" t="n">
        <v>16300000</v>
      </c>
      <c r="D14" s="6" t="n">
        <v>16650000</v>
      </c>
      <c r="E14" s="7" t="n">
        <f aca="false">-(B14-C14)</f>
        <v>-850000</v>
      </c>
      <c r="F14" s="8" t="n">
        <f aca="false">IF(C14=0,"-",E14/ABS(C14))</f>
        <v>-0.0521472392638037</v>
      </c>
      <c r="G14" s="9" t="s">
        <v>31</v>
      </c>
      <c r="H14" s="7" t="n">
        <f aca="false">-(B14-D14)</f>
        <v>-500000</v>
      </c>
      <c r="I14" s="8" t="n">
        <f aca="false">IF(D14=0,"-",H14/ABS(D14))</f>
        <v>-0.03003003003003</v>
      </c>
      <c r="J14" s="9" t="s">
        <v>32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71150000</v>
      </c>
      <c r="C15" s="11" t="n">
        <f aca="false">C12+C13+C14</f>
        <v>65400000</v>
      </c>
      <c r="D15" s="11" t="n">
        <f aca="false">D12+D13+D14</f>
        <v>67550000</v>
      </c>
      <c r="E15" s="11" t="n">
        <f aca="false">E12+E13+E14</f>
        <v>-5750000</v>
      </c>
      <c r="F15" s="12"/>
      <c r="G15" s="12"/>
      <c r="H15" s="11" t="n">
        <f aca="false">H12+H13+H14</f>
        <v>-3600000</v>
      </c>
      <c r="I15" s="12"/>
      <c r="J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46.25" hidden="false" customHeight="false" outlineLevel="0" collapsed="false">
      <c r="A18" s="5" t="s">
        <v>35</v>
      </c>
      <c r="B18" s="6" t="n">
        <v>24500000</v>
      </c>
      <c r="C18" s="6" t="n">
        <v>22800000</v>
      </c>
      <c r="D18" s="6" t="n">
        <v>23700000</v>
      </c>
      <c r="E18" s="7" t="n">
        <f aca="false">-(B18-C18)</f>
        <v>-1700000</v>
      </c>
      <c r="F18" s="8" t="n">
        <f aca="false">IF(C18=0,"-",E18/ABS(C18))</f>
        <v>-0.0745614035087719</v>
      </c>
      <c r="G18" s="9" t="s">
        <v>36</v>
      </c>
      <c r="H18" s="7" t="n">
        <f aca="false">-(B18-D18)</f>
        <v>-800000</v>
      </c>
      <c r="I18" s="8" t="n">
        <f aca="false">IF(D18=0,"-",H18/ABS(D18))</f>
        <v>-0.0337552742616034</v>
      </c>
      <c r="J18" s="9" t="s">
        <v>37</v>
      </c>
    </row>
    <row r="19" customFormat="false" ht="35.05" hidden="false" customHeight="false" outlineLevel="0" collapsed="false">
      <c r="A19" s="5" t="s">
        <v>38</v>
      </c>
      <c r="B19" s="6" t="n">
        <v>24000000</v>
      </c>
      <c r="C19" s="6" t="n">
        <v>23200000</v>
      </c>
      <c r="D19" s="6" t="n">
        <v>23600000</v>
      </c>
      <c r="E19" s="7" t="n">
        <f aca="false">-(B19-C19)</f>
        <v>-800000</v>
      </c>
      <c r="F19" s="8" t="n">
        <f aca="false">IF(C19=0,"-",E19/ABS(C19))</f>
        <v>-0.0344827586206897</v>
      </c>
      <c r="G19" s="9" t="s">
        <v>39</v>
      </c>
      <c r="H19" s="7" t="n">
        <f aca="false">-(B19-D19)</f>
        <v>-400000</v>
      </c>
      <c r="I19" s="8" t="n">
        <f aca="false">IF(D19=0,"-",H19/ABS(D19))</f>
        <v>-0.0169491525423729</v>
      </c>
      <c r="J19" s="13" t="s">
        <v>40</v>
      </c>
    </row>
    <row r="20" customFormat="false" ht="15" hidden="false" customHeight="false" outlineLevel="0" collapsed="false">
      <c r="A20" s="5" t="s">
        <v>41</v>
      </c>
      <c r="B20" s="6" t="n">
        <v>8000000</v>
      </c>
      <c r="C20" s="6" t="n">
        <v>7900000</v>
      </c>
      <c r="D20" s="6" t="n">
        <v>7950000</v>
      </c>
      <c r="E20" s="7" t="n">
        <f aca="false">-(B20-C20)</f>
        <v>-100000</v>
      </c>
      <c r="F20" s="8" t="n">
        <f aca="false">IF(C20=0,"-",E20/ABS(C20))</f>
        <v>-0.0126582278481013</v>
      </c>
      <c r="G20" s="13" t="s">
        <v>40</v>
      </c>
      <c r="H20" s="7" t="n">
        <f aca="false">-(B20-D20)</f>
        <v>-50000</v>
      </c>
      <c r="I20" s="8" t="n">
        <f aca="false">IF(D20=0,"-",H20/ABS(D20))</f>
        <v>-0.00628930817610063</v>
      </c>
      <c r="J20" s="13" t="s">
        <v>40</v>
      </c>
    </row>
    <row r="21" customFormat="false" ht="15" hidden="false" customHeight="false" outlineLevel="0" collapsed="false">
      <c r="A21" s="5" t="s">
        <v>42</v>
      </c>
      <c r="B21" s="6" t="n">
        <v>3500000</v>
      </c>
      <c r="C21" s="6" t="n">
        <v>3500000</v>
      </c>
      <c r="D21" s="6" t="n">
        <v>3500000</v>
      </c>
      <c r="E21" s="7" t="n">
        <f aca="false">-(B21-C21)</f>
        <v>-0</v>
      </c>
      <c r="F21" s="8" t="n">
        <f aca="false">IF(C21=0,"-",E21/ABS(C21))</f>
        <v>-0</v>
      </c>
      <c r="G21" s="13" t="s">
        <v>40</v>
      </c>
      <c r="H21" s="7" t="n">
        <f aca="false">-(B21-D21)</f>
        <v>-0</v>
      </c>
      <c r="I21" s="8" t="n">
        <f aca="false">IF(D21=0,"-",H21/ABS(D21))</f>
        <v>-0</v>
      </c>
      <c r="J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60000000</v>
      </c>
      <c r="C22" s="11" t="n">
        <f aca="false">C18+C19+C20+C21</f>
        <v>57400000</v>
      </c>
      <c r="D22" s="11" t="n">
        <f aca="false">D18+D19+D20+D21</f>
        <v>58750000</v>
      </c>
      <c r="E22" s="11" t="n">
        <f aca="false">E18+E19+E20+E21</f>
        <v>-2600000</v>
      </c>
      <c r="F22" s="12"/>
      <c r="G22" s="12"/>
      <c r="H22" s="11" t="n">
        <f aca="false">H18+H19+H20+H21</f>
        <v>-1250000</v>
      </c>
      <c r="I22" s="12"/>
      <c r="J22" s="12"/>
    </row>
    <row r="24" customFormat="false" ht="15" hidden="false" customHeight="false" outlineLevel="0" collapsed="false">
      <c r="A24" s="14" t="s">
        <v>44</v>
      </c>
      <c r="B24" s="15" t="n">
        <f aca="false">B9-B15</f>
        <v>109850000</v>
      </c>
      <c r="C24" s="15" t="n">
        <f aca="false">C9-C15</f>
        <v>99600000</v>
      </c>
      <c r="D24" s="15" t="n">
        <f aca="false">D9-D15</f>
        <v>104950000</v>
      </c>
      <c r="E24" s="15" t="n">
        <f aca="false">E9-E15</f>
        <v>21750000</v>
      </c>
      <c r="F24" s="16"/>
      <c r="G24" s="16"/>
      <c r="H24" s="15" t="n">
        <f aca="false">H9-H15</f>
        <v>12100000</v>
      </c>
      <c r="I24" s="16"/>
      <c r="J24" s="16"/>
    </row>
    <row r="26" customFormat="false" ht="15" hidden="false" customHeight="false" outlineLevel="0" collapsed="false">
      <c r="A26" s="14" t="s">
        <v>45</v>
      </c>
      <c r="B26" s="15" t="n">
        <f aca="false">B24-B22</f>
        <v>49850000</v>
      </c>
      <c r="C26" s="15" t="n">
        <f aca="false">C24-C22</f>
        <v>42200000</v>
      </c>
      <c r="D26" s="15" t="n">
        <f aca="false">D24-D22</f>
        <v>46200000</v>
      </c>
      <c r="E26" s="15" t="n">
        <f aca="false">E24-E22</f>
        <v>24350000</v>
      </c>
      <c r="F26" s="16"/>
      <c r="G26" s="16"/>
      <c r="H26" s="15" t="n">
        <f aca="false">H24-H22</f>
        <v>13350000</v>
      </c>
      <c r="I26" s="16"/>
      <c r="J26" s="16"/>
    </row>
  </sheetData>
  <mergeCells count="5">
    <mergeCell ref="A1:J1"/>
    <mergeCell ref="A2:J2"/>
    <mergeCell ref="A5:J5"/>
    <mergeCell ref="A11:J1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</row>
    <row r="6" customFormat="false" ht="35.05" hidden="false" customHeight="false" outlineLevel="0" collapsed="false">
      <c r="A6" s="5" t="s">
        <v>13</v>
      </c>
      <c r="B6" s="6" t="n">
        <v>160000000</v>
      </c>
      <c r="C6" s="6" t="n">
        <v>147500000</v>
      </c>
      <c r="D6" s="7" t="n">
        <f aca="false">B6-C6</f>
        <v>12500000</v>
      </c>
      <c r="E6" s="8" t="n">
        <f aca="false">IF(C6=0,"-",D6/ABS(C6))</f>
        <v>0.0847457627118644</v>
      </c>
      <c r="F6" s="9" t="s">
        <v>53</v>
      </c>
    </row>
    <row r="7" customFormat="false" ht="35.05" hidden="false" customHeight="false" outlineLevel="0" collapsed="false">
      <c r="A7" s="5" t="s">
        <v>16</v>
      </c>
      <c r="B7" s="6" t="n">
        <v>94000000</v>
      </c>
      <c r="C7" s="6" t="n">
        <v>84000000</v>
      </c>
      <c r="D7" s="7" t="n">
        <f aca="false">B7-C7</f>
        <v>10000000</v>
      </c>
      <c r="E7" s="8" t="n">
        <f aca="false">IF(C7=0,"-",D7/ABS(C7))</f>
        <v>0.119047619047619</v>
      </c>
      <c r="F7" s="9" t="s">
        <v>54</v>
      </c>
    </row>
    <row r="8" customFormat="false" ht="23.85" hidden="false" customHeight="false" outlineLevel="0" collapsed="false">
      <c r="A8" s="5" t="s">
        <v>19</v>
      </c>
      <c r="B8" s="6" t="n">
        <v>92000000</v>
      </c>
      <c r="C8" s="6" t="n">
        <v>89000000</v>
      </c>
      <c r="D8" s="7" t="n">
        <f aca="false">B8-C8</f>
        <v>3000000</v>
      </c>
      <c r="E8" s="8" t="n">
        <f aca="false">IF(C8=0,"-",D8/ABS(C8))</f>
        <v>0.0337078651685393</v>
      </c>
      <c r="F8" s="9" t="s">
        <v>55</v>
      </c>
    </row>
    <row r="9" customFormat="false" ht="15" hidden="false" customHeight="false" outlineLevel="0" collapsed="false">
      <c r="A9" s="10" t="s">
        <v>22</v>
      </c>
      <c r="B9" s="11" t="n">
        <f aca="false">B6+B7+B8</f>
        <v>346000000</v>
      </c>
      <c r="C9" s="11" t="n">
        <f aca="false">C6+C7+C8</f>
        <v>320500000</v>
      </c>
      <c r="D9" s="11" t="n">
        <f aca="false">D6+D7+D8</f>
        <v>25500000</v>
      </c>
      <c r="E9" s="12"/>
      <c r="F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</row>
    <row r="12" customFormat="false" ht="23.85" hidden="false" customHeight="false" outlineLevel="0" collapsed="false">
      <c r="A12" s="5" t="s">
        <v>24</v>
      </c>
      <c r="B12" s="6" t="n">
        <v>86400000</v>
      </c>
      <c r="C12" s="6" t="n">
        <v>79100000</v>
      </c>
      <c r="D12" s="7" t="n">
        <f aca="false">-(B12-C12)</f>
        <v>-7300000</v>
      </c>
      <c r="E12" s="8" t="n">
        <f aca="false">IF(C12=0,"-",D12/ABS(C12))</f>
        <v>-0.0922882427307206</v>
      </c>
      <c r="F12" s="9" t="s">
        <v>56</v>
      </c>
    </row>
    <row r="13" customFormat="false" ht="23.85" hidden="false" customHeight="false" outlineLevel="0" collapsed="false">
      <c r="A13" s="5" t="s">
        <v>27</v>
      </c>
      <c r="B13" s="6" t="n">
        <v>16700000</v>
      </c>
      <c r="C13" s="6" t="n">
        <v>14800000</v>
      </c>
      <c r="D13" s="7" t="n">
        <f aca="false">-(B13-C13)</f>
        <v>-1900000</v>
      </c>
      <c r="E13" s="8" t="n">
        <f aca="false">IF(C13=0,"-",D13/ABS(C13))</f>
        <v>-0.128378378378378</v>
      </c>
      <c r="F13" s="9" t="s">
        <v>57</v>
      </c>
    </row>
    <row r="14" customFormat="false" ht="15" hidden="false" customHeight="false" outlineLevel="0" collapsed="false">
      <c r="A14" s="5" t="s">
        <v>30</v>
      </c>
      <c r="B14" s="6" t="n">
        <v>33450000</v>
      </c>
      <c r="C14" s="6" t="n">
        <v>32050000</v>
      </c>
      <c r="D14" s="7" t="n">
        <f aca="false">-(B14-C14)</f>
        <v>-1400000</v>
      </c>
      <c r="E14" s="8" t="n">
        <f aca="false">IF(C14=0,"-",D14/ABS(C14))</f>
        <v>-0.0436817472698908</v>
      </c>
      <c r="F14" s="9" t="s">
        <v>58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136550000</v>
      </c>
      <c r="C15" s="11" t="n">
        <f aca="false">C12+C13+C14</f>
        <v>125950000</v>
      </c>
      <c r="D15" s="11" t="n">
        <f aca="false">D12+D13+D14</f>
        <v>-10600000</v>
      </c>
      <c r="E15" s="12"/>
      <c r="F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</row>
    <row r="18" customFormat="false" ht="23.85" hidden="false" customHeight="false" outlineLevel="0" collapsed="false">
      <c r="A18" s="5" t="s">
        <v>35</v>
      </c>
      <c r="B18" s="6" t="n">
        <v>47300000</v>
      </c>
      <c r="C18" s="6" t="n">
        <v>44900000</v>
      </c>
      <c r="D18" s="7" t="n">
        <f aca="false">-(B18-C18)</f>
        <v>-2400000</v>
      </c>
      <c r="E18" s="8" t="n">
        <f aca="false">IF(C18=0,"-",D18/ABS(C18))</f>
        <v>-0.0534521158129176</v>
      </c>
      <c r="F18" s="9" t="s">
        <v>59</v>
      </c>
    </row>
    <row r="19" customFormat="false" ht="23.85" hidden="false" customHeight="false" outlineLevel="0" collapsed="false">
      <c r="A19" s="5" t="s">
        <v>38</v>
      </c>
      <c r="B19" s="6" t="n">
        <v>47200000</v>
      </c>
      <c r="C19" s="6" t="n">
        <v>46100000</v>
      </c>
      <c r="D19" s="7" t="n">
        <f aca="false">-(B19-C19)</f>
        <v>-1100000</v>
      </c>
      <c r="E19" s="8" t="n">
        <f aca="false">IF(C19=0,"-",D19/ABS(C19))</f>
        <v>-0.0238611713665944</v>
      </c>
      <c r="F19" s="9" t="s">
        <v>60</v>
      </c>
    </row>
    <row r="20" customFormat="false" ht="15" hidden="false" customHeight="false" outlineLevel="0" collapsed="false">
      <c r="A20" s="5" t="s">
        <v>41</v>
      </c>
      <c r="B20" s="6" t="n">
        <v>15900000</v>
      </c>
      <c r="C20" s="6" t="n">
        <v>15750000</v>
      </c>
      <c r="D20" s="7" t="n">
        <f aca="false">-(B20-C20)</f>
        <v>-150000</v>
      </c>
      <c r="E20" s="8" t="n">
        <f aca="false">IF(C20=0,"-",D20/ABS(C20))</f>
        <v>-0.00952380952380953</v>
      </c>
      <c r="F20" s="13" t="s">
        <v>40</v>
      </c>
    </row>
    <row r="21" customFormat="false" ht="15" hidden="false" customHeight="false" outlineLevel="0" collapsed="false">
      <c r="A21" s="5" t="s">
        <v>42</v>
      </c>
      <c r="B21" s="6" t="n">
        <v>7000000</v>
      </c>
      <c r="C21" s="6" t="n">
        <v>7000000</v>
      </c>
      <c r="D21" s="7" t="n">
        <f aca="false">-(B21-C21)</f>
        <v>-0</v>
      </c>
      <c r="E21" s="8" t="n">
        <f aca="false">IF(C21=0,"-",D21/ABS(C21))</f>
        <v>-0</v>
      </c>
      <c r="F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117400000</v>
      </c>
      <c r="C22" s="11" t="n">
        <f aca="false">C18+C19+C20+C21</f>
        <v>113750000</v>
      </c>
      <c r="D22" s="11" t="n">
        <f aca="false">D18+D19+D20+D21</f>
        <v>-3650000</v>
      </c>
      <c r="E22" s="12"/>
      <c r="F22" s="12"/>
    </row>
    <row r="24" customFormat="false" ht="15" hidden="false" customHeight="false" outlineLevel="0" collapsed="false">
      <c r="A24" s="14" t="s">
        <v>44</v>
      </c>
      <c r="B24" s="15" t="n">
        <f aca="false">B9-B15</f>
        <v>209450000</v>
      </c>
      <c r="C24" s="15" t="n">
        <f aca="false">C9-C15</f>
        <v>194550000</v>
      </c>
      <c r="D24" s="15" t="n">
        <f aca="false">D9-D15</f>
        <v>36100000</v>
      </c>
      <c r="E24" s="16"/>
      <c r="F24" s="16"/>
    </row>
    <row r="26" customFormat="false" ht="15" hidden="false" customHeight="false" outlineLevel="0" collapsed="false">
      <c r="A26" s="14" t="s">
        <v>45</v>
      </c>
      <c r="B26" s="15" t="n">
        <f aca="false">B24-B22</f>
        <v>92050000</v>
      </c>
      <c r="C26" s="15" t="n">
        <f aca="false">C24-C22</f>
        <v>80800000</v>
      </c>
      <c r="D26" s="15" t="n">
        <f aca="false">D24-D22</f>
        <v>39750000</v>
      </c>
      <c r="E26" s="16"/>
      <c r="F26" s="16"/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35.05" hidden="false" customHeight="false" outlineLevel="0" collapsed="false">
      <c r="A6" s="5" t="s">
        <v>69</v>
      </c>
      <c r="B6" s="6" t="n">
        <v>40200000</v>
      </c>
      <c r="C6" s="6" t="n">
        <v>34500000</v>
      </c>
      <c r="D6" s="7" t="n">
        <f aca="false">B6-C6</f>
        <v>5700000</v>
      </c>
      <c r="E6" s="8" t="n">
        <f aca="false">IF(C6=0,"-",D6/ABS(C6))</f>
        <v>0.165217391304348</v>
      </c>
      <c r="F6" s="9" t="s">
        <v>70</v>
      </c>
    </row>
    <row r="7" customFormat="false" ht="46.25" hidden="false" customHeight="false" outlineLevel="0" collapsed="false">
      <c r="A7" s="5" t="s">
        <v>71</v>
      </c>
      <c r="B7" s="6" t="n">
        <v>32300000</v>
      </c>
      <c r="C7" s="6" t="n">
        <v>29000000</v>
      </c>
      <c r="D7" s="7" t="n">
        <f aca="false">B7-C7</f>
        <v>3300000</v>
      </c>
      <c r="E7" s="8" t="n">
        <f aca="false">IF(C7=0,"-",D7/ABS(C7))</f>
        <v>0.113793103448276</v>
      </c>
      <c r="F7" s="9" t="s">
        <v>72</v>
      </c>
    </row>
    <row r="8" customFormat="false" ht="23.85" hidden="false" customHeight="false" outlineLevel="0" collapsed="false">
      <c r="A8" s="5" t="s">
        <v>73</v>
      </c>
      <c r="B8" s="6" t="n">
        <v>8500000</v>
      </c>
      <c r="C8" s="6" t="n">
        <v>7200000</v>
      </c>
      <c r="D8" s="7" t="n">
        <f aca="false">B8-C8</f>
        <v>1300000</v>
      </c>
      <c r="E8" s="8" t="n">
        <f aca="false">IF(C8=0,"-",D8/ABS(C8))</f>
        <v>0.180555555555556</v>
      </c>
      <c r="F8" s="9" t="s">
        <v>74</v>
      </c>
    </row>
    <row r="9" customFormat="false" ht="35.05" hidden="false" customHeight="false" outlineLevel="0" collapsed="false">
      <c r="A9" s="5" t="s">
        <v>75</v>
      </c>
      <c r="B9" s="6" t="n">
        <v>35000000</v>
      </c>
      <c r="C9" s="6" t="n">
        <v>36000000</v>
      </c>
      <c r="D9" s="7" t="n">
        <f aca="false">B9-C9</f>
        <v>-1000000</v>
      </c>
      <c r="E9" s="8" t="n">
        <f aca="false">IF(C9=0,"-",D9/ABS(C9))</f>
        <v>-0.0277777777777778</v>
      </c>
      <c r="F9" s="9" t="s">
        <v>76</v>
      </c>
    </row>
    <row r="10" customFormat="false" ht="15" hidden="false" customHeight="false" outlineLevel="0" collapsed="false">
      <c r="A10" s="10" t="s">
        <v>77</v>
      </c>
      <c r="B10" s="11" t="n">
        <f aca="false">B6+B7+B8+B9</f>
        <v>116000000</v>
      </c>
      <c r="C10" s="11" t="n">
        <f aca="false">C6+C7+C8+C9</f>
        <v>106700000</v>
      </c>
      <c r="D10" s="11" t="n">
        <f aca="false">D6+D7+D8+D9</f>
        <v>9300000</v>
      </c>
      <c r="E10" s="12"/>
      <c r="F10" s="12"/>
    </row>
    <row r="11" customFormat="false" ht="15" hidden="false" customHeight="false" outlineLevel="0" collapsed="false">
      <c r="A11" s="4" t="s">
        <v>78</v>
      </c>
      <c r="B11" s="4"/>
      <c r="C11" s="4"/>
      <c r="D11" s="4"/>
      <c r="E11" s="4"/>
      <c r="F11" s="4"/>
    </row>
    <row r="12" customFormat="false" ht="35.05" hidden="false" customHeight="false" outlineLevel="0" collapsed="false">
      <c r="A12" s="5" t="s">
        <v>79</v>
      </c>
      <c r="B12" s="6" t="n">
        <v>46000000</v>
      </c>
      <c r="C12" s="6" t="n">
        <v>40000000</v>
      </c>
      <c r="D12" s="7" t="n">
        <f aca="false">B12-C12</f>
        <v>6000000</v>
      </c>
      <c r="E12" s="8" t="n">
        <f aca="false">IF(C12=0,"-",D12/ABS(C12))</f>
        <v>0.15</v>
      </c>
      <c r="F12" s="9" t="s">
        <v>80</v>
      </c>
    </row>
    <row r="13" customFormat="false" ht="35.05" hidden="false" customHeight="false" outlineLevel="0" collapsed="false">
      <c r="A13" s="5" t="s">
        <v>81</v>
      </c>
      <c r="B13" s="6" t="n">
        <v>13200000</v>
      </c>
      <c r="C13" s="6" t="n">
        <v>11600000</v>
      </c>
      <c r="D13" s="7" t="n">
        <f aca="false">B13-C13</f>
        <v>1600000</v>
      </c>
      <c r="E13" s="8" t="n">
        <f aca="false">IF(C13=0,"-",D13/ABS(C13))</f>
        <v>0.137931034482759</v>
      </c>
      <c r="F13" s="9" t="s">
        <v>82</v>
      </c>
    </row>
    <row r="14" customFormat="false" ht="15" hidden="false" customHeight="false" outlineLevel="0" collapsed="false">
      <c r="A14" s="10" t="s">
        <v>83</v>
      </c>
      <c r="B14" s="11" t="n">
        <f aca="false">B12+B13</f>
        <v>59200000</v>
      </c>
      <c r="C14" s="11" t="n">
        <f aca="false">C12+C13</f>
        <v>51600000</v>
      </c>
      <c r="D14" s="11" t="n">
        <f aca="false">D12+D13</f>
        <v>7600000</v>
      </c>
      <c r="E14" s="12"/>
      <c r="F14" s="12"/>
    </row>
  </sheetData>
  <mergeCells count="4">
    <mergeCell ref="A1:F1"/>
    <mergeCell ref="A2:F2"/>
    <mergeCell ref="A5:F5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46.25" hidden="false" customHeight="false" outlineLevel="0" collapsed="false">
      <c r="A6" s="5" t="s">
        <v>13</v>
      </c>
      <c r="B6" s="6" t="n">
        <v>92000000</v>
      </c>
      <c r="C6" s="6" t="n">
        <v>81000000</v>
      </c>
      <c r="D6" s="6" t="n">
        <v>87000000</v>
      </c>
      <c r="E6" s="7" t="n">
        <f aca="false">B6-C6</f>
        <v>11000000</v>
      </c>
      <c r="F6" s="8" t="n">
        <f aca="false">IF(C6=0,"-",E6/ABS(C6))</f>
        <v>0.135802469135802</v>
      </c>
      <c r="G6" s="9" t="s">
        <v>85</v>
      </c>
      <c r="H6" s="7" t="n">
        <f aca="false">B6-D6</f>
        <v>5000000</v>
      </c>
      <c r="I6" s="8" t="n">
        <f aca="false">IF(D6=0,"-",H6/ABS(D6))</f>
        <v>0.0574712643678161</v>
      </c>
      <c r="J6" s="9" t="s">
        <v>86</v>
      </c>
    </row>
    <row r="7" customFormat="false" ht="35.05" hidden="false" customHeight="false" outlineLevel="0" collapsed="false">
      <c r="A7" s="5" t="s">
        <v>16</v>
      </c>
      <c r="B7" s="6" t="n">
        <v>27000000</v>
      </c>
      <c r="C7" s="6" t="n">
        <v>23000000</v>
      </c>
      <c r="D7" s="6" t="n">
        <v>25000000</v>
      </c>
      <c r="E7" s="7" t="n">
        <f aca="false">B7-C7</f>
        <v>4000000</v>
      </c>
      <c r="F7" s="8" t="n">
        <f aca="false">IF(C7=0,"-",E7/ABS(C7))</f>
        <v>0.173913043478261</v>
      </c>
      <c r="G7" s="9" t="s">
        <v>87</v>
      </c>
      <c r="H7" s="7" t="n">
        <f aca="false">B7-D7</f>
        <v>2000000</v>
      </c>
      <c r="I7" s="8" t="n">
        <f aca="false">IF(D7=0,"-",H7/ABS(D7))</f>
        <v>0.08</v>
      </c>
      <c r="J7" s="9" t="s">
        <v>88</v>
      </c>
    </row>
    <row r="8" customFormat="false" ht="35.05" hidden="false" customHeight="false" outlineLevel="0" collapsed="false">
      <c r="A8" s="5" t="s">
        <v>19</v>
      </c>
      <c r="B8" s="6" t="n">
        <v>37000000</v>
      </c>
      <c r="C8" s="6" t="n">
        <v>36000000</v>
      </c>
      <c r="D8" s="6" t="n">
        <v>36600000</v>
      </c>
      <c r="E8" s="7" t="n">
        <f aca="false">B8-C8</f>
        <v>1000000</v>
      </c>
      <c r="F8" s="8" t="n">
        <f aca="false">IF(C8=0,"-",E8/ABS(C8))</f>
        <v>0.0277777777777778</v>
      </c>
      <c r="G8" s="9" t="s">
        <v>89</v>
      </c>
      <c r="H8" s="7" t="n">
        <f aca="false">B8-D8</f>
        <v>400000</v>
      </c>
      <c r="I8" s="8" t="n">
        <f aca="false">IF(D8=0,"-",H8/ABS(D8))</f>
        <v>0.0109289617486339</v>
      </c>
      <c r="J8" s="13" t="s">
        <v>40</v>
      </c>
    </row>
    <row r="9" customFormat="false" ht="15" hidden="false" customHeight="false" outlineLevel="0" collapsed="false">
      <c r="A9" s="10" t="s">
        <v>22</v>
      </c>
      <c r="B9" s="11" t="n">
        <f aca="false">B6+B7+B8</f>
        <v>156000000</v>
      </c>
      <c r="C9" s="11" t="n">
        <f aca="false">C6+C7+C8</f>
        <v>140000000</v>
      </c>
      <c r="D9" s="11" t="n">
        <f aca="false">D6+D7+D8</f>
        <v>148600000</v>
      </c>
      <c r="E9" s="11" t="n">
        <f aca="false">E6+E7+E8</f>
        <v>16000000</v>
      </c>
      <c r="F9" s="12"/>
      <c r="G9" s="12"/>
      <c r="H9" s="11" t="n">
        <f aca="false">H6+H7+H8</f>
        <v>7400000</v>
      </c>
      <c r="I9" s="12"/>
      <c r="J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46.25" hidden="false" customHeight="false" outlineLevel="0" collapsed="false">
      <c r="A12" s="5" t="s">
        <v>24</v>
      </c>
      <c r="B12" s="6" t="n">
        <v>47850000</v>
      </c>
      <c r="C12" s="6" t="n">
        <v>42850000</v>
      </c>
      <c r="D12" s="6" t="n">
        <v>45400000</v>
      </c>
      <c r="E12" s="7" t="n">
        <f aca="false">-(B12-C12)</f>
        <v>-5000000</v>
      </c>
      <c r="F12" s="8" t="n">
        <f aca="false">IF(C12=0,"-",E12/ABS(C12))</f>
        <v>-0.116686114352392</v>
      </c>
      <c r="G12" s="9" t="s">
        <v>90</v>
      </c>
      <c r="H12" s="7" t="n">
        <f aca="false">-(B12-D12)</f>
        <v>-2450000</v>
      </c>
      <c r="I12" s="8" t="n">
        <f aca="false">IF(D12=0,"-",H12/ABS(D12))</f>
        <v>-0.0539647577092511</v>
      </c>
      <c r="J12" s="9" t="s">
        <v>91</v>
      </c>
    </row>
    <row r="13" customFormat="false" ht="23.85" hidden="false" customHeight="false" outlineLevel="0" collapsed="false">
      <c r="A13" s="5" t="s">
        <v>27</v>
      </c>
      <c r="B13" s="6" t="n">
        <v>5250000</v>
      </c>
      <c r="C13" s="6" t="n">
        <v>4450000</v>
      </c>
      <c r="D13" s="6" t="n">
        <v>4850000</v>
      </c>
      <c r="E13" s="7" t="n">
        <f aca="false">-(B13-C13)</f>
        <v>-800000</v>
      </c>
      <c r="F13" s="8" t="n">
        <f aca="false">IF(C13=0,"-",E13/ABS(C13))</f>
        <v>-0.179775280898876</v>
      </c>
      <c r="G13" s="9" t="s">
        <v>92</v>
      </c>
      <c r="H13" s="7" t="n">
        <f aca="false">-(B13-D13)</f>
        <v>-400000</v>
      </c>
      <c r="I13" s="8" t="n">
        <f aca="false">IF(D13=0,"-",H13/ABS(D13))</f>
        <v>-0.0824742268041237</v>
      </c>
      <c r="J13" s="9" t="s">
        <v>32</v>
      </c>
    </row>
    <row r="14" customFormat="false" ht="15" hidden="false" customHeight="false" outlineLevel="0" collapsed="false">
      <c r="A14" s="5" t="s">
        <v>30</v>
      </c>
      <c r="B14" s="6" t="n">
        <v>13300000</v>
      </c>
      <c r="C14" s="6" t="n">
        <v>12875000</v>
      </c>
      <c r="D14" s="6" t="n">
        <v>13100000</v>
      </c>
      <c r="E14" s="7" t="n">
        <f aca="false">-(B14-C14)</f>
        <v>-425000</v>
      </c>
      <c r="F14" s="8" t="n">
        <f aca="false">IF(C14=0,"-",E14/ABS(C14))</f>
        <v>-0.0330097087378641</v>
      </c>
      <c r="G14" s="13" t="s">
        <v>40</v>
      </c>
      <c r="H14" s="7" t="n">
        <f aca="false">-(B14-D14)</f>
        <v>-200000</v>
      </c>
      <c r="I14" s="8" t="n">
        <f aca="false">IF(D14=0,"-",H14/ABS(D14))</f>
        <v>-0.0152671755725191</v>
      </c>
      <c r="J14" s="13" t="s">
        <v>40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66400000</v>
      </c>
      <c r="C15" s="11" t="n">
        <f aca="false">C12+C13+C14</f>
        <v>60175000</v>
      </c>
      <c r="D15" s="11" t="n">
        <f aca="false">D12+D13+D14</f>
        <v>63350000</v>
      </c>
      <c r="E15" s="11" t="n">
        <f aca="false">E12+E13+E14</f>
        <v>-6225000</v>
      </c>
      <c r="F15" s="12"/>
      <c r="G15" s="12"/>
      <c r="H15" s="11" t="n">
        <f aca="false">H12+H13+H14</f>
        <v>-3050000</v>
      </c>
      <c r="I15" s="12"/>
      <c r="J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46.25" hidden="false" customHeight="false" outlineLevel="0" collapsed="false">
      <c r="A18" s="5" t="s">
        <v>35</v>
      </c>
      <c r="B18" s="6" t="n">
        <v>18500000</v>
      </c>
      <c r="C18" s="6" t="n">
        <v>17000000</v>
      </c>
      <c r="D18" s="6" t="n">
        <v>17700000</v>
      </c>
      <c r="E18" s="7" t="n">
        <f aca="false">-(B18-C18)</f>
        <v>-1500000</v>
      </c>
      <c r="F18" s="8" t="n">
        <f aca="false">IF(C18=0,"-",E18/ABS(C18))</f>
        <v>-0.0882352941176471</v>
      </c>
      <c r="G18" s="9" t="s">
        <v>93</v>
      </c>
      <c r="H18" s="7" t="n">
        <f aca="false">-(B18-D18)</f>
        <v>-800000</v>
      </c>
      <c r="I18" s="8" t="n">
        <f aca="false">IF(D18=0,"-",H18/ABS(D18))</f>
        <v>-0.0451977401129944</v>
      </c>
      <c r="J18" s="9" t="s">
        <v>94</v>
      </c>
    </row>
    <row r="19" customFormat="false" ht="23.85" hidden="false" customHeight="false" outlineLevel="0" collapsed="false">
      <c r="A19" s="5" t="s">
        <v>38</v>
      </c>
      <c r="B19" s="6" t="n">
        <v>26000000</v>
      </c>
      <c r="C19" s="6" t="n">
        <v>25000000</v>
      </c>
      <c r="D19" s="6" t="n">
        <v>25600000</v>
      </c>
      <c r="E19" s="7" t="n">
        <f aca="false">-(B19-C19)</f>
        <v>-1000000</v>
      </c>
      <c r="F19" s="8" t="n">
        <f aca="false">IF(C19=0,"-",E19/ABS(C19))</f>
        <v>-0.04</v>
      </c>
      <c r="G19" s="9" t="s">
        <v>95</v>
      </c>
      <c r="H19" s="7" t="n">
        <f aca="false">-(B19-D19)</f>
        <v>-400000</v>
      </c>
      <c r="I19" s="8" t="n">
        <f aca="false">IF(D19=0,"-",H19/ABS(D19))</f>
        <v>-0.015625</v>
      </c>
      <c r="J19" s="13" t="s">
        <v>40</v>
      </c>
    </row>
    <row r="20" customFormat="false" ht="15" hidden="false" customHeight="false" outlineLevel="0" collapsed="false">
      <c r="A20" s="5" t="s">
        <v>41</v>
      </c>
      <c r="B20" s="6" t="n">
        <v>8000000</v>
      </c>
      <c r="C20" s="6" t="n">
        <v>7800000</v>
      </c>
      <c r="D20" s="6" t="n">
        <v>7900000</v>
      </c>
      <c r="E20" s="7" t="n">
        <f aca="false">-(B20-C20)</f>
        <v>-200000</v>
      </c>
      <c r="F20" s="8" t="n">
        <f aca="false">IF(C20=0,"-",E20/ABS(C20))</f>
        <v>-0.0256410256410256</v>
      </c>
      <c r="G20" s="13" t="s">
        <v>40</v>
      </c>
      <c r="H20" s="7" t="n">
        <f aca="false">-(B20-D20)</f>
        <v>-100000</v>
      </c>
      <c r="I20" s="8" t="n">
        <f aca="false">IF(D20=0,"-",H20/ABS(D20))</f>
        <v>-0.0126582278481013</v>
      </c>
      <c r="J20" s="13" t="s">
        <v>40</v>
      </c>
    </row>
    <row r="21" customFormat="false" ht="15" hidden="false" customHeight="false" outlineLevel="0" collapsed="false">
      <c r="A21" s="5" t="s">
        <v>42</v>
      </c>
      <c r="B21" s="6" t="n">
        <v>4200000</v>
      </c>
      <c r="C21" s="6" t="n">
        <v>4200000</v>
      </c>
      <c r="D21" s="6" t="n">
        <v>4200000</v>
      </c>
      <c r="E21" s="7" t="n">
        <f aca="false">-(B21-C21)</f>
        <v>-0</v>
      </c>
      <c r="F21" s="8" t="n">
        <f aca="false">IF(C21=0,"-",E21/ABS(C21))</f>
        <v>-0</v>
      </c>
      <c r="G21" s="13" t="s">
        <v>40</v>
      </c>
      <c r="H21" s="7" t="n">
        <f aca="false">-(B21-D21)</f>
        <v>-0</v>
      </c>
      <c r="I21" s="8" t="n">
        <f aca="false">IF(D21=0,"-",H21/ABS(D21))</f>
        <v>-0</v>
      </c>
      <c r="J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56700000</v>
      </c>
      <c r="C22" s="11" t="n">
        <f aca="false">C18+C19+C20+C21</f>
        <v>54000000</v>
      </c>
      <c r="D22" s="11" t="n">
        <f aca="false">D18+D19+D20+D21</f>
        <v>55400000</v>
      </c>
      <c r="E22" s="11" t="n">
        <f aca="false">E18+E19+E20+E21</f>
        <v>-2700000</v>
      </c>
      <c r="F22" s="12"/>
      <c r="G22" s="12"/>
      <c r="H22" s="11" t="n">
        <f aca="false">H18+H19+H20+H21</f>
        <v>-1300000</v>
      </c>
      <c r="I22" s="12"/>
      <c r="J22" s="12"/>
    </row>
    <row r="24" customFormat="false" ht="15" hidden="false" customHeight="false" outlineLevel="0" collapsed="false">
      <c r="A24" s="14" t="s">
        <v>44</v>
      </c>
      <c r="B24" s="15" t="n">
        <f aca="false">B9-B15</f>
        <v>89600000</v>
      </c>
      <c r="C24" s="15" t="n">
        <f aca="false">C9-C15</f>
        <v>79825000</v>
      </c>
      <c r="D24" s="15" t="n">
        <f aca="false">D9-D15</f>
        <v>85250000</v>
      </c>
      <c r="E24" s="15" t="n">
        <f aca="false">E9-E15</f>
        <v>22225000</v>
      </c>
      <c r="F24" s="16"/>
      <c r="G24" s="16"/>
      <c r="H24" s="15" t="n">
        <f aca="false">H9-H15</f>
        <v>10450000</v>
      </c>
      <c r="I24" s="16"/>
      <c r="J24" s="16"/>
    </row>
    <row r="26" customFormat="false" ht="15" hidden="false" customHeight="false" outlineLevel="0" collapsed="false">
      <c r="A26" s="14" t="s">
        <v>45</v>
      </c>
      <c r="B26" s="15" t="n">
        <f aca="false">B24-B22</f>
        <v>32900000</v>
      </c>
      <c r="C26" s="15" t="n">
        <f aca="false">C24-C22</f>
        <v>25825000</v>
      </c>
      <c r="D26" s="15" t="n">
        <f aca="false">D24-D22</f>
        <v>29850000</v>
      </c>
      <c r="E26" s="15" t="n">
        <f aca="false">E24-E22</f>
        <v>24925000</v>
      </c>
      <c r="F26" s="16"/>
      <c r="G26" s="16"/>
      <c r="H26" s="15" t="n">
        <f aca="false">H24-H22</f>
        <v>11750000</v>
      </c>
      <c r="I26" s="16"/>
      <c r="J26" s="16"/>
    </row>
  </sheetData>
  <mergeCells count="5">
    <mergeCell ref="A1:J1"/>
    <mergeCell ref="A2:J2"/>
    <mergeCell ref="A5:J5"/>
    <mergeCell ref="A11:J1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</row>
    <row r="6" customFormat="false" ht="23.85" hidden="false" customHeight="false" outlineLevel="0" collapsed="false">
      <c r="A6" s="5" t="s">
        <v>13</v>
      </c>
      <c r="B6" s="6" t="n">
        <v>173000000</v>
      </c>
      <c r="C6" s="6" t="n">
        <v>159000000</v>
      </c>
      <c r="D6" s="7" t="n">
        <f aca="false">B6-C6</f>
        <v>14000000</v>
      </c>
      <c r="E6" s="8" t="n">
        <f aca="false">IF(C6=0,"-",D6/ABS(C6))</f>
        <v>0.0880503144654088</v>
      </c>
      <c r="F6" s="9" t="s">
        <v>97</v>
      </c>
    </row>
    <row r="7" customFormat="false" ht="23.85" hidden="false" customHeight="false" outlineLevel="0" collapsed="false">
      <c r="A7" s="5" t="s">
        <v>16</v>
      </c>
      <c r="B7" s="6" t="n">
        <v>50000000</v>
      </c>
      <c r="C7" s="6" t="n">
        <v>41000000</v>
      </c>
      <c r="D7" s="7" t="n">
        <f aca="false">B7-C7</f>
        <v>9000000</v>
      </c>
      <c r="E7" s="8" t="n">
        <f aca="false">IF(C7=0,"-",D7/ABS(C7))</f>
        <v>0.219512195121951</v>
      </c>
      <c r="F7" s="9" t="s">
        <v>98</v>
      </c>
    </row>
    <row r="8" customFormat="false" ht="15" hidden="false" customHeight="false" outlineLevel="0" collapsed="false">
      <c r="A8" s="5" t="s">
        <v>19</v>
      </c>
      <c r="B8" s="6" t="n">
        <v>73000000</v>
      </c>
      <c r="C8" s="6" t="n">
        <v>71600000</v>
      </c>
      <c r="D8" s="7" t="n">
        <f aca="false">B8-C8</f>
        <v>1400000</v>
      </c>
      <c r="E8" s="8" t="n">
        <f aca="false">IF(C8=0,"-",D8/ABS(C8))</f>
        <v>0.0195530726256983</v>
      </c>
      <c r="F8" s="9" t="s">
        <v>99</v>
      </c>
    </row>
    <row r="9" customFormat="false" ht="15" hidden="false" customHeight="false" outlineLevel="0" collapsed="false">
      <c r="A9" s="10" t="s">
        <v>22</v>
      </c>
      <c r="B9" s="11" t="n">
        <f aca="false">B6+B7+B8</f>
        <v>296000000</v>
      </c>
      <c r="C9" s="11" t="n">
        <f aca="false">C6+C7+C8</f>
        <v>271600000</v>
      </c>
      <c r="D9" s="11" t="n">
        <f aca="false">D6+D7+D8</f>
        <v>24400000</v>
      </c>
      <c r="E9" s="12"/>
      <c r="F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</row>
    <row r="12" customFormat="false" ht="23.85" hidden="false" customHeight="false" outlineLevel="0" collapsed="false">
      <c r="A12" s="5" t="s">
        <v>24</v>
      </c>
      <c r="B12" s="6" t="n">
        <v>90700000</v>
      </c>
      <c r="C12" s="6" t="n">
        <v>83800000</v>
      </c>
      <c r="D12" s="7" t="n">
        <f aca="false">-(B12-C12)</f>
        <v>-6900000</v>
      </c>
      <c r="E12" s="8" t="n">
        <f aca="false">IF(C12=0,"-",D12/ABS(C12))</f>
        <v>-0.0823389021479714</v>
      </c>
      <c r="F12" s="9" t="s">
        <v>100</v>
      </c>
    </row>
    <row r="13" customFormat="false" ht="15" hidden="false" customHeight="false" outlineLevel="0" collapsed="false">
      <c r="A13" s="5" t="s">
        <v>27</v>
      </c>
      <c r="B13" s="6" t="n">
        <v>9700000</v>
      </c>
      <c r="C13" s="6" t="n">
        <v>8500000</v>
      </c>
      <c r="D13" s="7" t="n">
        <f aca="false">-(B13-C13)</f>
        <v>-1200000</v>
      </c>
      <c r="E13" s="8" t="n">
        <f aca="false">IF(C13=0,"-",D13/ABS(C13))</f>
        <v>-0.141176470588235</v>
      </c>
      <c r="F13" s="9" t="s">
        <v>101</v>
      </c>
    </row>
    <row r="14" customFormat="false" ht="15" hidden="false" customHeight="false" outlineLevel="0" collapsed="false">
      <c r="A14" s="5" t="s">
        <v>30</v>
      </c>
      <c r="B14" s="6" t="n">
        <v>26175000</v>
      </c>
      <c r="C14" s="6" t="n">
        <v>25450000</v>
      </c>
      <c r="D14" s="7" t="n">
        <f aca="false">-(B14-C14)</f>
        <v>-725000</v>
      </c>
      <c r="E14" s="8" t="n">
        <f aca="false">IF(C14=0,"-",D14/ABS(C14))</f>
        <v>-0.0284872298624754</v>
      </c>
      <c r="F14" s="9" t="s">
        <v>102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126575000</v>
      </c>
      <c r="C15" s="11" t="n">
        <f aca="false">C12+C13+C14</f>
        <v>117750000</v>
      </c>
      <c r="D15" s="11" t="n">
        <f aca="false">D12+D13+D14</f>
        <v>-8825000</v>
      </c>
      <c r="E15" s="12"/>
      <c r="F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</row>
    <row r="18" customFormat="false" ht="23.85" hidden="false" customHeight="false" outlineLevel="0" collapsed="false">
      <c r="A18" s="5" t="s">
        <v>35</v>
      </c>
      <c r="B18" s="6" t="n">
        <v>35500000</v>
      </c>
      <c r="C18" s="6" t="n">
        <v>33200000</v>
      </c>
      <c r="D18" s="7" t="n">
        <f aca="false">-(B18-C18)</f>
        <v>-2300000</v>
      </c>
      <c r="E18" s="8" t="n">
        <f aca="false">IF(C18=0,"-",D18/ABS(C18))</f>
        <v>-0.0692771084337349</v>
      </c>
      <c r="F18" s="9" t="s">
        <v>103</v>
      </c>
    </row>
    <row r="19" customFormat="false" ht="15" hidden="false" customHeight="false" outlineLevel="0" collapsed="false">
      <c r="A19" s="5" t="s">
        <v>38</v>
      </c>
      <c r="B19" s="6" t="n">
        <v>51000000</v>
      </c>
      <c r="C19" s="6" t="n">
        <v>49600000</v>
      </c>
      <c r="D19" s="7" t="n">
        <f aca="false">-(B19-C19)</f>
        <v>-1400000</v>
      </c>
      <c r="E19" s="8" t="n">
        <f aca="false">IF(C19=0,"-",D19/ABS(C19))</f>
        <v>-0.0282258064516129</v>
      </c>
      <c r="F19" s="9" t="s">
        <v>104</v>
      </c>
    </row>
    <row r="20" customFormat="false" ht="15" hidden="false" customHeight="false" outlineLevel="0" collapsed="false">
      <c r="A20" s="5" t="s">
        <v>41</v>
      </c>
      <c r="B20" s="6" t="n">
        <v>15800000</v>
      </c>
      <c r="C20" s="6" t="n">
        <v>15500000</v>
      </c>
      <c r="D20" s="7" t="n">
        <f aca="false">-(B20-C20)</f>
        <v>-300000</v>
      </c>
      <c r="E20" s="8" t="n">
        <f aca="false">IF(C20=0,"-",D20/ABS(C20))</f>
        <v>-0.0193548387096774</v>
      </c>
      <c r="F20" s="13" t="s">
        <v>40</v>
      </c>
    </row>
    <row r="21" customFormat="false" ht="15" hidden="false" customHeight="false" outlineLevel="0" collapsed="false">
      <c r="A21" s="5" t="s">
        <v>42</v>
      </c>
      <c r="B21" s="6" t="n">
        <v>8400000</v>
      </c>
      <c r="C21" s="6" t="n">
        <v>8400000</v>
      </c>
      <c r="D21" s="7" t="n">
        <f aca="false">-(B21-C21)</f>
        <v>-0</v>
      </c>
      <c r="E21" s="8" t="n">
        <f aca="false">IF(C21=0,"-",D21/ABS(C21))</f>
        <v>-0</v>
      </c>
      <c r="F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110700000</v>
      </c>
      <c r="C22" s="11" t="n">
        <f aca="false">C18+C19+C20+C21</f>
        <v>106700000</v>
      </c>
      <c r="D22" s="11" t="n">
        <f aca="false">D18+D19+D20+D21</f>
        <v>-4000000</v>
      </c>
      <c r="E22" s="12"/>
      <c r="F22" s="12"/>
    </row>
    <row r="24" customFormat="false" ht="15" hidden="false" customHeight="false" outlineLevel="0" collapsed="false">
      <c r="A24" s="14" t="s">
        <v>44</v>
      </c>
      <c r="B24" s="15" t="n">
        <f aca="false">B9-B15</f>
        <v>169425000</v>
      </c>
      <c r="C24" s="15" t="n">
        <f aca="false">C9-C15</f>
        <v>153850000</v>
      </c>
      <c r="D24" s="15" t="n">
        <f aca="false">D9-D15</f>
        <v>33225000</v>
      </c>
      <c r="E24" s="16"/>
      <c r="F24" s="16"/>
    </row>
    <row r="26" customFormat="false" ht="15" hidden="false" customHeight="false" outlineLevel="0" collapsed="false">
      <c r="A26" s="14" t="s">
        <v>45</v>
      </c>
      <c r="B26" s="15" t="n">
        <f aca="false">B24-B22</f>
        <v>58725000</v>
      </c>
      <c r="C26" s="15" t="n">
        <f aca="false">C24-C22</f>
        <v>47150000</v>
      </c>
      <c r="D26" s="15" t="n">
        <f aca="false">D24-D22</f>
        <v>37225000</v>
      </c>
      <c r="E26" s="16"/>
      <c r="F26" s="16"/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35.05" hidden="false" customHeight="false" outlineLevel="0" collapsed="false">
      <c r="A6" s="5" t="s">
        <v>69</v>
      </c>
      <c r="B6" s="6" t="n">
        <v>33800000</v>
      </c>
      <c r="C6" s="6" t="n">
        <v>29000000</v>
      </c>
      <c r="D6" s="7" t="n">
        <f aca="false">B6-C6</f>
        <v>4800000</v>
      </c>
      <c r="E6" s="8" t="n">
        <f aca="false">IF(C6=0,"-",D6/ABS(C6))</f>
        <v>0.16551724137931</v>
      </c>
      <c r="F6" s="9" t="s">
        <v>106</v>
      </c>
    </row>
    <row r="7" customFormat="false" ht="23.85" hidden="false" customHeight="false" outlineLevel="0" collapsed="false">
      <c r="A7" s="5" t="s">
        <v>71</v>
      </c>
      <c r="B7" s="6" t="n">
        <v>28700000</v>
      </c>
      <c r="C7" s="6" t="n">
        <v>25300000</v>
      </c>
      <c r="D7" s="7" t="n">
        <f aca="false">B7-C7</f>
        <v>3400000</v>
      </c>
      <c r="E7" s="8" t="n">
        <f aca="false">IF(C7=0,"-",D7/ABS(C7))</f>
        <v>0.134387351778656</v>
      </c>
      <c r="F7" s="9" t="s">
        <v>107</v>
      </c>
    </row>
    <row r="8" customFormat="false" ht="15" hidden="false" customHeight="false" outlineLevel="0" collapsed="false">
      <c r="A8" s="5" t="s">
        <v>108</v>
      </c>
      <c r="B8" s="6" t="n">
        <v>50000000</v>
      </c>
      <c r="C8" s="6" t="n">
        <v>50000000</v>
      </c>
      <c r="D8" s="7" t="n">
        <f aca="false">B8-C8</f>
        <v>0</v>
      </c>
      <c r="E8" s="8" t="n">
        <f aca="false">IF(C8=0,"-",D8/ABS(C8))</f>
        <v>0</v>
      </c>
      <c r="F8" s="13" t="s">
        <v>40</v>
      </c>
    </row>
    <row r="9" customFormat="false" ht="23.85" hidden="false" customHeight="false" outlineLevel="0" collapsed="false">
      <c r="A9" s="5" t="s">
        <v>73</v>
      </c>
      <c r="B9" s="6" t="n">
        <v>6800000</v>
      </c>
      <c r="C9" s="6" t="n">
        <v>5500000</v>
      </c>
      <c r="D9" s="7" t="n">
        <f aca="false">B9-C9</f>
        <v>1300000</v>
      </c>
      <c r="E9" s="8" t="n">
        <f aca="false">IF(C9=0,"-",D9/ABS(C9))</f>
        <v>0.236363636363636</v>
      </c>
      <c r="F9" s="9" t="s">
        <v>109</v>
      </c>
    </row>
    <row r="10" customFormat="false" ht="15" hidden="false" customHeight="false" outlineLevel="0" collapsed="false">
      <c r="A10" s="10" t="s">
        <v>77</v>
      </c>
      <c r="B10" s="11" t="n">
        <f aca="false">B6+B7+B8+B9</f>
        <v>119300000</v>
      </c>
      <c r="C10" s="11" t="n">
        <f aca="false">C6+C7+C8+C9</f>
        <v>109800000</v>
      </c>
      <c r="D10" s="11" t="n">
        <f aca="false">D6+D7+D8+D9</f>
        <v>9500000</v>
      </c>
      <c r="E10" s="12"/>
      <c r="F10" s="12"/>
    </row>
    <row r="11" customFormat="false" ht="15" hidden="false" customHeight="false" outlineLevel="0" collapsed="false">
      <c r="A11" s="4" t="s">
        <v>78</v>
      </c>
      <c r="B11" s="4"/>
      <c r="C11" s="4"/>
      <c r="D11" s="4"/>
      <c r="E11" s="4"/>
      <c r="F11" s="4"/>
    </row>
    <row r="12" customFormat="false" ht="35.05" hidden="false" customHeight="false" outlineLevel="0" collapsed="false">
      <c r="A12" s="5" t="s">
        <v>79</v>
      </c>
      <c r="B12" s="6" t="n">
        <v>36000000</v>
      </c>
      <c r="C12" s="6" t="n">
        <v>31500000</v>
      </c>
      <c r="D12" s="7" t="n">
        <f aca="false">B12-C12</f>
        <v>4500000</v>
      </c>
      <c r="E12" s="8" t="n">
        <f aca="false">IF(C12=0,"-",D12/ABS(C12))</f>
        <v>0.142857142857143</v>
      </c>
      <c r="F12" s="9" t="s">
        <v>110</v>
      </c>
    </row>
    <row r="13" customFormat="false" ht="35.05" hidden="false" customHeight="false" outlineLevel="0" collapsed="false">
      <c r="A13" s="5" t="s">
        <v>81</v>
      </c>
      <c r="B13" s="6" t="n">
        <v>15700000</v>
      </c>
      <c r="C13" s="6" t="n">
        <v>13400000</v>
      </c>
      <c r="D13" s="7" t="n">
        <f aca="false">B13-C13</f>
        <v>2300000</v>
      </c>
      <c r="E13" s="8" t="n">
        <f aca="false">IF(C13=0,"-",D13/ABS(C13))</f>
        <v>0.171641791044776</v>
      </c>
      <c r="F13" s="9" t="s">
        <v>111</v>
      </c>
    </row>
    <row r="14" customFormat="false" ht="15" hidden="false" customHeight="false" outlineLevel="0" collapsed="false">
      <c r="A14" s="10" t="s">
        <v>83</v>
      </c>
      <c r="B14" s="11" t="n">
        <f aca="false">B12+B13</f>
        <v>51700000</v>
      </c>
      <c r="C14" s="11" t="n">
        <f aca="false">C12+C13</f>
        <v>44900000</v>
      </c>
      <c r="D14" s="11" t="n">
        <f aca="false">D12+D13</f>
        <v>6800000</v>
      </c>
      <c r="E14" s="12"/>
      <c r="F14" s="12"/>
    </row>
  </sheetData>
  <mergeCells count="4">
    <mergeCell ref="A1:F1"/>
    <mergeCell ref="A2:F2"/>
    <mergeCell ref="A5:F5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46.25" hidden="false" customHeight="false" outlineLevel="0" collapsed="false">
      <c r="A6" s="5" t="s">
        <v>13</v>
      </c>
      <c r="B6" s="6" t="n">
        <v>21000000</v>
      </c>
      <c r="C6" s="6" t="n">
        <v>19500000</v>
      </c>
      <c r="D6" s="6" t="n">
        <v>20300000</v>
      </c>
      <c r="E6" s="7" t="n">
        <f aca="false">B6-C6</f>
        <v>1500000</v>
      </c>
      <c r="F6" s="8" t="n">
        <f aca="false">IF(C6=0,"-",E6/ABS(C6))</f>
        <v>0.0769230769230769</v>
      </c>
      <c r="G6" s="9" t="s">
        <v>113</v>
      </c>
      <c r="H6" s="7" t="n">
        <f aca="false">B6-D6</f>
        <v>700000</v>
      </c>
      <c r="I6" s="8" t="n">
        <f aca="false">IF(D6=0,"-",H6/ABS(D6))</f>
        <v>0.0344827586206897</v>
      </c>
      <c r="J6" s="9" t="s">
        <v>114</v>
      </c>
    </row>
    <row r="7" customFormat="false" ht="46.25" hidden="false" customHeight="false" outlineLevel="0" collapsed="false">
      <c r="A7" s="5" t="s">
        <v>16</v>
      </c>
      <c r="B7" s="6" t="n">
        <v>28000000</v>
      </c>
      <c r="C7" s="6" t="n">
        <v>23500000</v>
      </c>
      <c r="D7" s="6" t="n">
        <v>25000000</v>
      </c>
      <c r="E7" s="7" t="n">
        <f aca="false">B7-C7</f>
        <v>4500000</v>
      </c>
      <c r="F7" s="8" t="n">
        <f aca="false">IF(C7=0,"-",E7/ABS(C7))</f>
        <v>0.191489361702128</v>
      </c>
      <c r="G7" s="9" t="s">
        <v>115</v>
      </c>
      <c r="H7" s="7" t="n">
        <f aca="false">B7-D7</f>
        <v>3000000</v>
      </c>
      <c r="I7" s="8" t="n">
        <f aca="false">IF(D7=0,"-",H7/ABS(D7))</f>
        <v>0.12</v>
      </c>
      <c r="J7" s="9" t="s">
        <v>116</v>
      </c>
    </row>
    <row r="8" customFormat="false" ht="46.25" hidden="false" customHeight="false" outlineLevel="0" collapsed="false">
      <c r="A8" s="5" t="s">
        <v>19</v>
      </c>
      <c r="B8" s="6" t="n">
        <v>20000000</v>
      </c>
      <c r="C8" s="6" t="n">
        <v>18300000</v>
      </c>
      <c r="D8" s="6" t="n">
        <v>19200000</v>
      </c>
      <c r="E8" s="7" t="n">
        <f aca="false">B8-C8</f>
        <v>1700000</v>
      </c>
      <c r="F8" s="8" t="n">
        <f aca="false">IF(C8=0,"-",E8/ABS(C8))</f>
        <v>0.092896174863388</v>
      </c>
      <c r="G8" s="9" t="s">
        <v>117</v>
      </c>
      <c r="H8" s="7" t="n">
        <f aca="false">B8-D8</f>
        <v>800000</v>
      </c>
      <c r="I8" s="8" t="n">
        <f aca="false">IF(D8=0,"-",H8/ABS(D8))</f>
        <v>0.0416666666666667</v>
      </c>
      <c r="J8" s="9" t="s">
        <v>118</v>
      </c>
    </row>
    <row r="9" customFormat="false" ht="15" hidden="false" customHeight="false" outlineLevel="0" collapsed="false">
      <c r="A9" s="10" t="s">
        <v>22</v>
      </c>
      <c r="B9" s="11" t="n">
        <f aca="false">B6+B7+B8</f>
        <v>69000000</v>
      </c>
      <c r="C9" s="11" t="n">
        <f aca="false">C6+C7+C8</f>
        <v>61300000</v>
      </c>
      <c r="D9" s="11" t="n">
        <f aca="false">D6+D7+D8</f>
        <v>64500000</v>
      </c>
      <c r="E9" s="11" t="n">
        <f aca="false">E6+E7+E8</f>
        <v>7700000</v>
      </c>
      <c r="F9" s="12"/>
      <c r="G9" s="12"/>
      <c r="H9" s="11" t="n">
        <f aca="false">H6+H7+H8</f>
        <v>4500000</v>
      </c>
      <c r="I9" s="12"/>
      <c r="J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23.85" hidden="false" customHeight="false" outlineLevel="0" collapsed="false">
      <c r="A12" s="5" t="s">
        <v>24</v>
      </c>
      <c r="B12" s="6" t="n">
        <v>7650000</v>
      </c>
      <c r="C12" s="6" t="n">
        <v>7250000</v>
      </c>
      <c r="D12" s="6" t="n">
        <v>7375000</v>
      </c>
      <c r="E12" s="7" t="n">
        <f aca="false">-(B12-C12)</f>
        <v>-400000</v>
      </c>
      <c r="F12" s="8" t="n">
        <f aca="false">IF(C12=0,"-",E12/ABS(C12))</f>
        <v>-0.0551724137931035</v>
      </c>
      <c r="G12" s="9" t="s">
        <v>119</v>
      </c>
      <c r="H12" s="7" t="n">
        <f aca="false">-(B12-D12)</f>
        <v>-275000</v>
      </c>
      <c r="I12" s="8" t="n">
        <f aca="false">IF(D12=0,"-",H12/ABS(D12))</f>
        <v>-0.0372881355932203</v>
      </c>
      <c r="J12" s="13" t="s">
        <v>40</v>
      </c>
    </row>
    <row r="13" customFormat="false" ht="35.05" hidden="false" customHeight="false" outlineLevel="0" collapsed="false">
      <c r="A13" s="5" t="s">
        <v>27</v>
      </c>
      <c r="B13" s="6" t="n">
        <v>5200000</v>
      </c>
      <c r="C13" s="6" t="n">
        <v>4325000</v>
      </c>
      <c r="D13" s="6" t="n">
        <v>4650000</v>
      </c>
      <c r="E13" s="7" t="n">
        <f aca="false">-(B13-C13)</f>
        <v>-875000</v>
      </c>
      <c r="F13" s="8" t="n">
        <f aca="false">IF(C13=0,"-",E13/ABS(C13))</f>
        <v>-0.202312138728324</v>
      </c>
      <c r="G13" s="9" t="s">
        <v>120</v>
      </c>
      <c r="H13" s="7" t="n">
        <f aca="false">-(B13-D13)</f>
        <v>-550000</v>
      </c>
      <c r="I13" s="8" t="n">
        <f aca="false">IF(D13=0,"-",H13/ABS(D13))</f>
        <v>-0.118279569892473</v>
      </c>
      <c r="J13" s="9" t="s">
        <v>121</v>
      </c>
    </row>
    <row r="14" customFormat="false" ht="35.05" hidden="false" customHeight="false" outlineLevel="0" collapsed="false">
      <c r="A14" s="5" t="s">
        <v>30</v>
      </c>
      <c r="B14" s="6" t="n">
        <v>8900000</v>
      </c>
      <c r="C14" s="6" t="n">
        <v>7950000</v>
      </c>
      <c r="D14" s="6" t="n">
        <v>8460000</v>
      </c>
      <c r="E14" s="7" t="n">
        <f aca="false">-(B14-C14)</f>
        <v>-950000</v>
      </c>
      <c r="F14" s="8" t="n">
        <f aca="false">IF(C14=0,"-",E14/ABS(C14))</f>
        <v>-0.119496855345912</v>
      </c>
      <c r="G14" s="9" t="s">
        <v>122</v>
      </c>
      <c r="H14" s="7" t="n">
        <f aca="false">-(B14-D14)</f>
        <v>-440000</v>
      </c>
      <c r="I14" s="8" t="n">
        <f aca="false">IF(D14=0,"-",H14/ABS(D14))</f>
        <v>-0.0520094562647754</v>
      </c>
      <c r="J14" s="9" t="s">
        <v>123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21750000</v>
      </c>
      <c r="C15" s="11" t="n">
        <f aca="false">C12+C13+C14</f>
        <v>19525000</v>
      </c>
      <c r="D15" s="11" t="n">
        <f aca="false">D12+D13+D14</f>
        <v>20485000</v>
      </c>
      <c r="E15" s="11" t="n">
        <f aca="false">E12+E13+E14</f>
        <v>-2225000</v>
      </c>
      <c r="F15" s="12"/>
      <c r="G15" s="12"/>
      <c r="H15" s="11" t="n">
        <f aca="false">H12+H13+H14</f>
        <v>-1265000</v>
      </c>
      <c r="I15" s="12"/>
      <c r="J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35.05" hidden="false" customHeight="false" outlineLevel="0" collapsed="false">
      <c r="A18" s="5" t="s">
        <v>35</v>
      </c>
      <c r="B18" s="6" t="n">
        <v>10600000</v>
      </c>
      <c r="C18" s="6" t="n">
        <v>9600000</v>
      </c>
      <c r="D18" s="6" t="n">
        <v>10150000</v>
      </c>
      <c r="E18" s="7" t="n">
        <f aca="false">-(B18-C18)</f>
        <v>-1000000</v>
      </c>
      <c r="F18" s="8" t="n">
        <f aca="false">IF(C18=0,"-",E18/ABS(C18))</f>
        <v>-0.104166666666667</v>
      </c>
      <c r="G18" s="9" t="s">
        <v>124</v>
      </c>
      <c r="H18" s="7" t="n">
        <f aca="false">-(B18-D18)</f>
        <v>-450000</v>
      </c>
      <c r="I18" s="8" t="n">
        <f aca="false">IF(D18=0,"-",H18/ABS(D18))</f>
        <v>-0.0443349753694581</v>
      </c>
      <c r="J18" s="13" t="s">
        <v>40</v>
      </c>
    </row>
    <row r="19" customFormat="false" ht="46.25" hidden="false" customHeight="false" outlineLevel="0" collapsed="false">
      <c r="A19" s="5" t="s">
        <v>38</v>
      </c>
      <c r="B19" s="6" t="n">
        <v>15000000</v>
      </c>
      <c r="C19" s="6" t="n">
        <v>13500000</v>
      </c>
      <c r="D19" s="6" t="n">
        <v>14300000</v>
      </c>
      <c r="E19" s="7" t="n">
        <f aca="false">-(B19-C19)</f>
        <v>-1500000</v>
      </c>
      <c r="F19" s="8" t="n">
        <f aca="false">IF(C19=0,"-",E19/ABS(C19))</f>
        <v>-0.111111111111111</v>
      </c>
      <c r="G19" s="9" t="s">
        <v>125</v>
      </c>
      <c r="H19" s="7" t="n">
        <f aca="false">-(B19-D19)</f>
        <v>-700000</v>
      </c>
      <c r="I19" s="8" t="n">
        <f aca="false">IF(D19=0,"-",H19/ABS(D19))</f>
        <v>-0.048951048951049</v>
      </c>
      <c r="J19" s="9" t="s">
        <v>126</v>
      </c>
    </row>
    <row r="20" customFormat="false" ht="15" hidden="false" customHeight="false" outlineLevel="0" collapsed="false">
      <c r="A20" s="5" t="s">
        <v>41</v>
      </c>
      <c r="B20" s="6" t="n">
        <v>4400000</v>
      </c>
      <c r="C20" s="6" t="n">
        <v>4300000</v>
      </c>
      <c r="D20" s="6" t="n">
        <v>4350000</v>
      </c>
      <c r="E20" s="7" t="n">
        <f aca="false">-(B20-C20)</f>
        <v>-100000</v>
      </c>
      <c r="F20" s="8" t="n">
        <f aca="false">IF(C20=0,"-",E20/ABS(C20))</f>
        <v>-0.0232558139534884</v>
      </c>
      <c r="G20" s="13" t="s">
        <v>40</v>
      </c>
      <c r="H20" s="7" t="n">
        <f aca="false">-(B20-D20)</f>
        <v>-50000</v>
      </c>
      <c r="I20" s="8" t="n">
        <f aca="false">IF(D20=0,"-",H20/ABS(D20))</f>
        <v>-0.0114942528735632</v>
      </c>
      <c r="J20" s="13" t="s">
        <v>40</v>
      </c>
    </row>
    <row r="21" customFormat="false" ht="15" hidden="false" customHeight="false" outlineLevel="0" collapsed="false">
      <c r="A21" s="5" t="s">
        <v>42</v>
      </c>
      <c r="B21" s="6" t="n">
        <v>2200000</v>
      </c>
      <c r="C21" s="6" t="n">
        <v>2200000</v>
      </c>
      <c r="D21" s="6" t="n">
        <v>2200000</v>
      </c>
      <c r="E21" s="7" t="n">
        <f aca="false">-(B21-C21)</f>
        <v>-0</v>
      </c>
      <c r="F21" s="8" t="n">
        <f aca="false">IF(C21=0,"-",E21/ABS(C21))</f>
        <v>-0</v>
      </c>
      <c r="G21" s="13" t="s">
        <v>40</v>
      </c>
      <c r="H21" s="7" t="n">
        <f aca="false">-(B21-D21)</f>
        <v>-0</v>
      </c>
      <c r="I21" s="8" t="n">
        <f aca="false">IF(D21=0,"-",H21/ABS(D21))</f>
        <v>-0</v>
      </c>
      <c r="J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32200000</v>
      </c>
      <c r="C22" s="11" t="n">
        <f aca="false">C18+C19+C20+C21</f>
        <v>29600000</v>
      </c>
      <c r="D22" s="11" t="n">
        <f aca="false">D18+D19+D20+D21</f>
        <v>31000000</v>
      </c>
      <c r="E22" s="11" t="n">
        <f aca="false">E18+E19+E20+E21</f>
        <v>-2600000</v>
      </c>
      <c r="F22" s="12"/>
      <c r="G22" s="12"/>
      <c r="H22" s="11" t="n">
        <f aca="false">H18+H19+H20+H21</f>
        <v>-1200000</v>
      </c>
      <c r="I22" s="12"/>
      <c r="J22" s="12"/>
    </row>
    <row r="24" customFormat="false" ht="15" hidden="false" customHeight="false" outlineLevel="0" collapsed="false">
      <c r="A24" s="14" t="s">
        <v>44</v>
      </c>
      <c r="B24" s="15" t="n">
        <f aca="false">B9-B15</f>
        <v>47250000</v>
      </c>
      <c r="C24" s="15" t="n">
        <f aca="false">C9-C15</f>
        <v>41775000</v>
      </c>
      <c r="D24" s="15" t="n">
        <f aca="false">D9-D15</f>
        <v>44015000</v>
      </c>
      <c r="E24" s="15" t="n">
        <f aca="false">E9-E15</f>
        <v>9925000</v>
      </c>
      <c r="F24" s="16"/>
      <c r="G24" s="16"/>
      <c r="H24" s="15" t="n">
        <f aca="false">H9-H15</f>
        <v>5765000</v>
      </c>
      <c r="I24" s="16"/>
      <c r="J24" s="16"/>
    </row>
    <row r="26" customFormat="false" ht="15" hidden="false" customHeight="false" outlineLevel="0" collapsed="false">
      <c r="A26" s="14" t="s">
        <v>45</v>
      </c>
      <c r="B26" s="15" t="n">
        <f aca="false">B24-B22</f>
        <v>15050000</v>
      </c>
      <c r="C26" s="15" t="n">
        <f aca="false">C24-C22</f>
        <v>12175000</v>
      </c>
      <c r="D26" s="15" t="n">
        <f aca="false">D24-D22</f>
        <v>13015000</v>
      </c>
      <c r="E26" s="15" t="n">
        <f aca="false">E24-E22</f>
        <v>12525000</v>
      </c>
      <c r="F26" s="16"/>
      <c r="G26" s="16"/>
      <c r="H26" s="15" t="n">
        <f aca="false">H24-H22</f>
        <v>6965000</v>
      </c>
      <c r="I26" s="16"/>
      <c r="J26" s="16"/>
    </row>
  </sheetData>
  <mergeCells count="5">
    <mergeCell ref="A1:J1"/>
    <mergeCell ref="A2:J2"/>
    <mergeCell ref="A5:J5"/>
    <mergeCell ref="A11:J1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127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13</v>
      </c>
      <c r="B6" s="6" t="n">
        <v>40500000</v>
      </c>
      <c r="C6" s="6" t="n">
        <v>38300000</v>
      </c>
      <c r="D6" s="7" t="n">
        <f aca="false">B6-C6</f>
        <v>2200000</v>
      </c>
      <c r="E6" s="8" t="n">
        <f aca="false">IF(C6=0,"-",D6/ABS(C6))</f>
        <v>0.0574412532637076</v>
      </c>
      <c r="F6" s="9" t="s">
        <v>128</v>
      </c>
    </row>
    <row r="7" customFormat="false" ht="23.85" hidden="false" customHeight="false" outlineLevel="0" collapsed="false">
      <c r="A7" s="5" t="s">
        <v>16</v>
      </c>
      <c r="B7" s="6" t="n">
        <v>51500000</v>
      </c>
      <c r="C7" s="6" t="n">
        <v>40000000</v>
      </c>
      <c r="D7" s="7" t="n">
        <f aca="false">B7-C7</f>
        <v>11500000</v>
      </c>
      <c r="E7" s="8" t="n">
        <f aca="false">IF(C7=0,"-",D7/ABS(C7))</f>
        <v>0.2875</v>
      </c>
      <c r="F7" s="9" t="s">
        <v>129</v>
      </c>
    </row>
    <row r="8" customFormat="false" ht="23.85" hidden="false" customHeight="false" outlineLevel="0" collapsed="false">
      <c r="A8" s="5" t="s">
        <v>19</v>
      </c>
      <c r="B8" s="6" t="n">
        <v>38300000</v>
      </c>
      <c r="C8" s="6" t="n">
        <v>33400000</v>
      </c>
      <c r="D8" s="7" t="n">
        <f aca="false">B8-C8</f>
        <v>4900000</v>
      </c>
      <c r="E8" s="8" t="n">
        <f aca="false">IF(C8=0,"-",D8/ABS(C8))</f>
        <v>0.146706586826347</v>
      </c>
      <c r="F8" s="9" t="s">
        <v>130</v>
      </c>
    </row>
    <row r="9" customFormat="false" ht="15" hidden="false" customHeight="false" outlineLevel="0" collapsed="false">
      <c r="A9" s="10" t="s">
        <v>22</v>
      </c>
      <c r="B9" s="11" t="n">
        <f aca="false">B6+B7+B8</f>
        <v>130300000</v>
      </c>
      <c r="C9" s="11" t="n">
        <f aca="false">C6+C7+C8</f>
        <v>111700000</v>
      </c>
      <c r="D9" s="11" t="n">
        <f aca="false">D6+D7+D8</f>
        <v>18600000</v>
      </c>
      <c r="E9" s="12"/>
      <c r="F9" s="12"/>
    </row>
    <row r="11" customFormat="false" ht="15" hidden="false" customHeight="false" outlineLevel="0" collapsed="false">
      <c r="A11" s="4" t="s">
        <v>23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5" t="s">
        <v>24</v>
      </c>
      <c r="B12" s="6" t="n">
        <v>14900000</v>
      </c>
      <c r="C12" s="6" t="n">
        <v>14125000</v>
      </c>
      <c r="D12" s="7" t="n">
        <f aca="false">-(B12-C12)</f>
        <v>-775000</v>
      </c>
      <c r="E12" s="8" t="n">
        <f aca="false">IF(C12=0,"-",D12/ABS(C12))</f>
        <v>-0.0548672566371681</v>
      </c>
      <c r="F12" s="9" t="s">
        <v>131</v>
      </c>
    </row>
    <row r="13" customFormat="false" ht="15" hidden="false" customHeight="false" outlineLevel="0" collapsed="false">
      <c r="A13" s="5" t="s">
        <v>27</v>
      </c>
      <c r="B13" s="6" t="n">
        <v>9525000</v>
      </c>
      <c r="C13" s="6" t="n">
        <v>7950000</v>
      </c>
      <c r="D13" s="7" t="n">
        <f aca="false">-(B13-C13)</f>
        <v>-1575000</v>
      </c>
      <c r="E13" s="8" t="n">
        <f aca="false">IF(C13=0,"-",D13/ABS(C13))</f>
        <v>-0.19811320754717</v>
      </c>
      <c r="F13" s="9" t="s">
        <v>132</v>
      </c>
    </row>
    <row r="14" customFormat="false" ht="23.85" hidden="false" customHeight="false" outlineLevel="0" collapsed="false">
      <c r="A14" s="5" t="s">
        <v>30</v>
      </c>
      <c r="B14" s="6" t="n">
        <v>16850000</v>
      </c>
      <c r="C14" s="6" t="n">
        <v>14250000</v>
      </c>
      <c r="D14" s="7" t="n">
        <f aca="false">-(B14-C14)</f>
        <v>-2600000</v>
      </c>
      <c r="E14" s="8" t="n">
        <f aca="false">IF(C14=0,"-",D14/ABS(C14))</f>
        <v>-0.182456140350877</v>
      </c>
      <c r="F14" s="9" t="s">
        <v>133</v>
      </c>
    </row>
    <row r="15" customFormat="false" ht="15" hidden="false" customHeight="false" outlineLevel="0" collapsed="false">
      <c r="A15" s="10" t="s">
        <v>33</v>
      </c>
      <c r="B15" s="11" t="n">
        <f aca="false">B12+B13+B14</f>
        <v>41275000</v>
      </c>
      <c r="C15" s="11" t="n">
        <f aca="false">C12+C13+C14</f>
        <v>36325000</v>
      </c>
      <c r="D15" s="11" t="n">
        <f aca="false">D12+D13+D14</f>
        <v>-4950000</v>
      </c>
      <c r="E15" s="12"/>
      <c r="F15" s="12"/>
    </row>
    <row r="17" customFormat="false" ht="15" hidden="false" customHeight="false" outlineLevel="0" collapsed="false">
      <c r="A17" s="4" t="s">
        <v>34</v>
      </c>
      <c r="B17" s="4"/>
      <c r="C17" s="4"/>
      <c r="D17" s="4"/>
      <c r="E17" s="4"/>
      <c r="F17" s="4"/>
    </row>
    <row r="18" customFormat="false" ht="23.85" hidden="false" customHeight="false" outlineLevel="0" collapsed="false">
      <c r="A18" s="5" t="s">
        <v>35</v>
      </c>
      <c r="B18" s="6" t="n">
        <v>20200000</v>
      </c>
      <c r="C18" s="6" t="n">
        <v>17900000</v>
      </c>
      <c r="D18" s="7" t="n">
        <f aca="false">-(B18-C18)</f>
        <v>-2300000</v>
      </c>
      <c r="E18" s="8" t="n">
        <f aca="false">IF(C18=0,"-",D18/ABS(C18))</f>
        <v>-0.128491620111732</v>
      </c>
      <c r="F18" s="9" t="s">
        <v>134</v>
      </c>
    </row>
    <row r="19" customFormat="false" ht="23.85" hidden="false" customHeight="false" outlineLevel="0" collapsed="false">
      <c r="A19" s="5" t="s">
        <v>38</v>
      </c>
      <c r="B19" s="6" t="n">
        <v>28500000</v>
      </c>
      <c r="C19" s="6" t="n">
        <v>23800000</v>
      </c>
      <c r="D19" s="7" t="n">
        <f aca="false">-(B19-C19)</f>
        <v>-4700000</v>
      </c>
      <c r="E19" s="8" t="n">
        <f aca="false">IF(C19=0,"-",D19/ABS(C19))</f>
        <v>-0.197478991596639</v>
      </c>
      <c r="F19" s="9" t="s">
        <v>135</v>
      </c>
    </row>
    <row r="20" customFormat="false" ht="15" hidden="false" customHeight="false" outlineLevel="0" collapsed="false">
      <c r="A20" s="5" t="s">
        <v>41</v>
      </c>
      <c r="B20" s="6" t="n">
        <v>8700000</v>
      </c>
      <c r="C20" s="6" t="n">
        <v>8550000</v>
      </c>
      <c r="D20" s="7" t="n">
        <f aca="false">-(B20-C20)</f>
        <v>-150000</v>
      </c>
      <c r="E20" s="8" t="n">
        <f aca="false">IF(C20=0,"-",D20/ABS(C20))</f>
        <v>-0.0175438596491228</v>
      </c>
      <c r="F20" s="13" t="s">
        <v>40</v>
      </c>
    </row>
    <row r="21" customFormat="false" ht="15" hidden="false" customHeight="false" outlineLevel="0" collapsed="false">
      <c r="A21" s="5" t="s">
        <v>42</v>
      </c>
      <c r="B21" s="6" t="n">
        <v>4400000</v>
      </c>
      <c r="C21" s="6" t="n">
        <v>4400000</v>
      </c>
      <c r="D21" s="7" t="n">
        <f aca="false">-(B21-C21)</f>
        <v>-0</v>
      </c>
      <c r="E21" s="8" t="n">
        <f aca="false">IF(C21=0,"-",D21/ABS(C21))</f>
        <v>-0</v>
      </c>
      <c r="F21" s="13" t="s">
        <v>40</v>
      </c>
    </row>
    <row r="22" customFormat="false" ht="15" hidden="false" customHeight="false" outlineLevel="0" collapsed="false">
      <c r="A22" s="10" t="s">
        <v>43</v>
      </c>
      <c r="B22" s="11" t="n">
        <f aca="false">B18+B19+B20+B21</f>
        <v>61800000</v>
      </c>
      <c r="C22" s="11" t="n">
        <f aca="false">C18+C19+C20+C21</f>
        <v>54650000</v>
      </c>
      <c r="D22" s="11" t="n">
        <f aca="false">D18+D19+D20+D21</f>
        <v>-7150000</v>
      </c>
      <c r="E22" s="12"/>
      <c r="F22" s="12"/>
    </row>
    <row r="24" customFormat="false" ht="15" hidden="false" customHeight="false" outlineLevel="0" collapsed="false">
      <c r="A24" s="14" t="s">
        <v>44</v>
      </c>
      <c r="B24" s="15" t="n">
        <f aca="false">B9-B15</f>
        <v>89025000</v>
      </c>
      <c r="C24" s="15" t="n">
        <f aca="false">C9-C15</f>
        <v>75375000</v>
      </c>
      <c r="D24" s="15" t="n">
        <f aca="false">D9-D15</f>
        <v>23550000</v>
      </c>
      <c r="E24" s="16"/>
      <c r="F24" s="16"/>
    </row>
    <row r="26" customFormat="false" ht="15" hidden="false" customHeight="false" outlineLevel="0" collapsed="false">
      <c r="A26" s="14" t="s">
        <v>45</v>
      </c>
      <c r="B26" s="15" t="n">
        <f aca="false">B24-B22</f>
        <v>27225000</v>
      </c>
      <c r="C26" s="15" t="n">
        <f aca="false">C24-C22</f>
        <v>20725000</v>
      </c>
      <c r="D26" s="15" t="n">
        <f aca="false">D24-D22</f>
        <v>30700000</v>
      </c>
      <c r="E26" s="16"/>
      <c r="F26" s="16"/>
    </row>
  </sheetData>
  <mergeCells count="5">
    <mergeCell ref="A1:F1"/>
    <mergeCell ref="A2:F2"/>
    <mergeCell ref="A5:F5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23.85" hidden="false" customHeight="false" outlineLevel="0" collapsed="false">
      <c r="A6" s="5" t="s">
        <v>69</v>
      </c>
      <c r="B6" s="6" t="n">
        <v>11500000</v>
      </c>
      <c r="C6" s="6" t="n">
        <v>9600000</v>
      </c>
      <c r="D6" s="7" t="n">
        <f aca="false">B6-C6</f>
        <v>1900000</v>
      </c>
      <c r="E6" s="8" t="n">
        <f aca="false">IF(C6=0,"-",D6/ABS(C6))</f>
        <v>0.197916666666667</v>
      </c>
      <c r="F6" s="9" t="s">
        <v>137</v>
      </c>
    </row>
    <row r="7" customFormat="false" ht="23.85" hidden="false" customHeight="false" outlineLevel="0" collapsed="false">
      <c r="A7" s="5" t="s">
        <v>71</v>
      </c>
      <c r="B7" s="6" t="n">
        <v>4100000</v>
      </c>
      <c r="C7" s="6" t="n">
        <v>3700000</v>
      </c>
      <c r="D7" s="7" t="n">
        <f aca="false">B7-C7</f>
        <v>400000</v>
      </c>
      <c r="E7" s="8" t="n">
        <f aca="false">IF(C7=0,"-",D7/ABS(C7))</f>
        <v>0.108108108108108</v>
      </c>
      <c r="F7" s="9" t="s">
        <v>138</v>
      </c>
    </row>
    <row r="8" customFormat="false" ht="46.25" hidden="false" customHeight="false" outlineLevel="0" collapsed="false">
      <c r="A8" s="5" t="s">
        <v>108</v>
      </c>
      <c r="B8" s="6" t="n">
        <v>27000000</v>
      </c>
      <c r="C8" s="6" t="n">
        <v>27500000</v>
      </c>
      <c r="D8" s="7" t="n">
        <f aca="false">B8-C8</f>
        <v>-500000</v>
      </c>
      <c r="E8" s="8" t="n">
        <f aca="false">IF(C8=0,"-",D8/ABS(C8))</f>
        <v>-0.0181818181818182</v>
      </c>
      <c r="F8" s="9" t="s">
        <v>139</v>
      </c>
    </row>
    <row r="9" customFormat="false" ht="23.85" hidden="false" customHeight="false" outlineLevel="0" collapsed="false">
      <c r="A9" s="5" t="s">
        <v>73</v>
      </c>
      <c r="B9" s="6" t="n">
        <v>3200000</v>
      </c>
      <c r="C9" s="6" t="n">
        <v>2500000</v>
      </c>
      <c r="D9" s="7" t="n">
        <f aca="false">B9-C9</f>
        <v>700000</v>
      </c>
      <c r="E9" s="8" t="n">
        <f aca="false">IF(C9=0,"-",D9/ABS(C9))</f>
        <v>0.28</v>
      </c>
      <c r="F9" s="9" t="s">
        <v>140</v>
      </c>
    </row>
    <row r="10" customFormat="false" ht="15" hidden="false" customHeight="false" outlineLevel="0" collapsed="false">
      <c r="A10" s="10" t="s">
        <v>77</v>
      </c>
      <c r="B10" s="11" t="n">
        <f aca="false">B6+B7+B8+B9</f>
        <v>45800000</v>
      </c>
      <c r="C10" s="11" t="n">
        <f aca="false">C6+C7+C8+C9</f>
        <v>43300000</v>
      </c>
      <c r="D10" s="11" t="n">
        <f aca="false">D6+D7+D8+D9</f>
        <v>2500000</v>
      </c>
      <c r="E10" s="12"/>
      <c r="F10" s="12"/>
    </row>
    <row r="11" customFormat="false" ht="15" hidden="false" customHeight="false" outlineLevel="0" collapsed="false">
      <c r="A11" s="4" t="s">
        <v>78</v>
      </c>
      <c r="B11" s="4"/>
      <c r="C11" s="4"/>
      <c r="D11" s="4"/>
      <c r="E11" s="4"/>
      <c r="F11" s="4"/>
    </row>
    <row r="12" customFormat="false" ht="23.85" hidden="false" customHeight="false" outlineLevel="0" collapsed="false">
      <c r="A12" s="5" t="s">
        <v>141</v>
      </c>
      <c r="B12" s="6" t="n">
        <v>16000000</v>
      </c>
      <c r="C12" s="6" t="n">
        <v>13500000</v>
      </c>
      <c r="D12" s="7" t="n">
        <f aca="false">B12-C12</f>
        <v>2500000</v>
      </c>
      <c r="E12" s="8" t="n">
        <f aca="false">IF(C12=0,"-",D12/ABS(C12))</f>
        <v>0.185185185185185</v>
      </c>
      <c r="F12" s="9" t="s">
        <v>142</v>
      </c>
    </row>
    <row r="13" customFormat="false" ht="23.85" hidden="false" customHeight="false" outlineLevel="0" collapsed="false">
      <c r="A13" s="5" t="s">
        <v>143</v>
      </c>
      <c r="B13" s="6" t="n">
        <v>8000000</v>
      </c>
      <c r="C13" s="6" t="n">
        <v>6500000</v>
      </c>
      <c r="D13" s="7" t="n">
        <f aca="false">B13-C13</f>
        <v>1500000</v>
      </c>
      <c r="E13" s="8" t="n">
        <f aca="false">IF(C13=0,"-",D13/ABS(C13))</f>
        <v>0.230769230769231</v>
      </c>
      <c r="F13" s="9" t="s">
        <v>144</v>
      </c>
    </row>
    <row r="14" customFormat="false" ht="15" hidden="false" customHeight="false" outlineLevel="0" collapsed="false">
      <c r="A14" s="5" t="s">
        <v>81</v>
      </c>
      <c r="B14" s="6" t="n">
        <v>6800000</v>
      </c>
      <c r="C14" s="6" t="n">
        <v>6750000</v>
      </c>
      <c r="D14" s="7" t="n">
        <f aca="false">B14-C14</f>
        <v>50000</v>
      </c>
      <c r="E14" s="8" t="n">
        <f aca="false">IF(C14=0,"-",D14/ABS(C14))</f>
        <v>0.00740740740740741</v>
      </c>
      <c r="F14" s="13" t="s">
        <v>40</v>
      </c>
    </row>
    <row r="15" customFormat="false" ht="15" hidden="false" customHeight="false" outlineLevel="0" collapsed="false">
      <c r="A15" s="10" t="s">
        <v>83</v>
      </c>
      <c r="B15" s="11" t="n">
        <f aca="false">B12+B13+B14</f>
        <v>30800000</v>
      </c>
      <c r="C15" s="11" t="n">
        <f aca="false">C12+C13+C14</f>
        <v>26750000</v>
      </c>
      <c r="D15" s="11" t="n">
        <f aca="false">D12+D13+D14</f>
        <v>4050000</v>
      </c>
      <c r="E15" s="12"/>
      <c r="F15" s="12"/>
    </row>
  </sheetData>
  <mergeCells count="4">
    <mergeCell ref="A1:F1"/>
    <mergeCell ref="A2:F2"/>
    <mergeCell ref="A5:F5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57.45" hidden="false" customHeight="false" outlineLevel="0" collapsed="false">
      <c r="A6" s="5" t="s">
        <v>147</v>
      </c>
      <c r="B6" s="6" t="n">
        <v>11715000</v>
      </c>
      <c r="C6" s="6" t="n">
        <v>11080000</v>
      </c>
      <c r="D6" s="6" t="n">
        <v>11235000</v>
      </c>
      <c r="E6" s="7" t="n">
        <f aca="false">-(B6-C6)</f>
        <v>-635000</v>
      </c>
      <c r="F6" s="8" t="n">
        <f aca="false">IF(C6=0,"-",E6/ABS(C6))</f>
        <v>-0.0573104693140794</v>
      </c>
      <c r="G6" s="9" t="s">
        <v>148</v>
      </c>
      <c r="H6" s="7" t="n">
        <f aca="false">-(B6-D6)</f>
        <v>-480000</v>
      </c>
      <c r="I6" s="8" t="n">
        <f aca="false">IF(D6=0,"-",H6/ABS(D6))</f>
        <v>-0.0427236315086782</v>
      </c>
      <c r="J6" s="13" t="s">
        <v>40</v>
      </c>
    </row>
    <row r="7" customFormat="false" ht="15" hidden="false" customHeight="false" outlineLevel="0" collapsed="false">
      <c r="A7" s="10" t="s">
        <v>43</v>
      </c>
      <c r="B7" s="11" t="n">
        <f aca="false">B6</f>
        <v>11715000</v>
      </c>
      <c r="C7" s="11" t="n">
        <f aca="false">C6</f>
        <v>11080000</v>
      </c>
      <c r="D7" s="11" t="n">
        <f aca="false">D6</f>
        <v>11235000</v>
      </c>
      <c r="E7" s="11" t="n">
        <f aca="false">E6</f>
        <v>-635000</v>
      </c>
      <c r="F7" s="12"/>
      <c r="G7" s="12"/>
      <c r="H7" s="11" t="n">
        <f aca="false">H6</f>
        <v>-480000</v>
      </c>
      <c r="I7" s="12"/>
      <c r="J7" s="12"/>
    </row>
  </sheetData>
  <mergeCells count="3">
    <mergeCell ref="A1:J1"/>
    <mergeCell ref="A2:J2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150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147</v>
      </c>
      <c r="B6" s="6" t="n">
        <v>22795000</v>
      </c>
      <c r="C6" s="6" t="n">
        <v>22595000</v>
      </c>
      <c r="D6" s="7" t="n">
        <f aca="false">-(B6-C6)</f>
        <v>-200000</v>
      </c>
      <c r="E6" s="8" t="n">
        <f aca="false">IF(C6=0,"-",D6/ABS(C6))</f>
        <v>-0.00885151582208453</v>
      </c>
      <c r="F6" s="13" t="s">
        <v>40</v>
      </c>
    </row>
    <row r="7" customFormat="false" ht="15" hidden="false" customHeight="false" outlineLevel="0" collapsed="false">
      <c r="A7" s="10" t="s">
        <v>43</v>
      </c>
      <c r="B7" s="11" t="n">
        <f aca="false">B6</f>
        <v>22795000</v>
      </c>
      <c r="C7" s="11" t="n">
        <f aca="false">C6</f>
        <v>22595000</v>
      </c>
      <c r="D7" s="11" t="n">
        <f aca="false">D6</f>
        <v>-200000</v>
      </c>
      <c r="E7" s="12"/>
      <c r="F7" s="12"/>
    </row>
  </sheetData>
  <mergeCells count="3">
    <mergeCell ref="A1:F1"/>
    <mergeCell ref="A2:F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6E7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35.05" hidden="false" customHeight="false" outlineLevel="0" collapsed="false">
      <c r="A6" s="5" t="s">
        <v>153</v>
      </c>
      <c r="B6" s="6" t="n">
        <v>13300000</v>
      </c>
      <c r="C6" s="6" t="n">
        <v>14200000</v>
      </c>
      <c r="D6" s="7" t="n">
        <f aca="false">B6-C6</f>
        <v>-900000</v>
      </c>
      <c r="E6" s="8" t="n">
        <f aca="false">IF(C6=0,"-",D6/ABS(C6))</f>
        <v>-0.0633802816901408</v>
      </c>
      <c r="F6" s="9" t="s">
        <v>154</v>
      </c>
    </row>
    <row r="7" customFormat="false" ht="15" hidden="false" customHeight="false" outlineLevel="0" collapsed="false">
      <c r="A7" s="10" t="s">
        <v>77</v>
      </c>
      <c r="B7" s="11" t="n">
        <f aca="false">B6</f>
        <v>13300000</v>
      </c>
      <c r="C7" s="11" t="n">
        <f aca="false">C6</f>
        <v>14200000</v>
      </c>
      <c r="D7" s="11" t="n">
        <f aca="false">D6</f>
        <v>-900000</v>
      </c>
      <c r="E7" s="12"/>
      <c r="F7" s="12"/>
    </row>
    <row r="8" customFormat="false" ht="15" hidden="false" customHeight="false" outlineLevel="0" collapsed="false">
      <c r="A8" s="4" t="s">
        <v>78</v>
      </c>
      <c r="B8" s="4"/>
      <c r="C8" s="4"/>
      <c r="D8" s="4"/>
      <c r="E8" s="4"/>
      <c r="F8" s="4"/>
    </row>
    <row r="9" customFormat="false" ht="46.25" hidden="false" customHeight="false" outlineLevel="0" collapsed="false">
      <c r="A9" s="5" t="s">
        <v>155</v>
      </c>
      <c r="B9" s="6" t="n">
        <v>9800000</v>
      </c>
      <c r="C9" s="6" t="n">
        <v>8500000</v>
      </c>
      <c r="D9" s="7" t="n">
        <f aca="false">B9-C9</f>
        <v>1300000</v>
      </c>
      <c r="E9" s="8" t="n">
        <f aca="false">IF(C9=0,"-",D9/ABS(C9))</f>
        <v>0.152941176470588</v>
      </c>
      <c r="F9" s="9" t="s">
        <v>156</v>
      </c>
    </row>
    <row r="10" customFormat="false" ht="15" hidden="false" customHeight="false" outlineLevel="0" collapsed="false">
      <c r="A10" s="10" t="s">
        <v>83</v>
      </c>
      <c r="B10" s="11" t="n">
        <f aca="false">B9</f>
        <v>9800000</v>
      </c>
      <c r="C10" s="11" t="n">
        <f aca="false">C9</f>
        <v>8500000</v>
      </c>
      <c r="D10" s="11" t="n">
        <f aca="false">D9</f>
        <v>1300000</v>
      </c>
      <c r="E10" s="12"/>
      <c r="F10" s="12"/>
    </row>
  </sheetData>
  <mergeCells count="4">
    <mergeCell ref="A1:F1"/>
    <mergeCell ref="A2:F2"/>
    <mergeCell ref="A5:F5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FCE"/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57.45" hidden="false" customHeight="false" outlineLevel="0" collapsed="false">
      <c r="A6" s="5" t="s">
        <v>158</v>
      </c>
      <c r="B6" s="6" t="n">
        <v>13300000</v>
      </c>
      <c r="C6" s="6" t="n">
        <v>12800000</v>
      </c>
      <c r="D6" s="6" t="n">
        <v>13140000</v>
      </c>
      <c r="E6" s="7" t="n">
        <f aca="false">-(B6-C6)</f>
        <v>-500000</v>
      </c>
      <c r="F6" s="8" t="n">
        <f aca="false">IF(C6=0,"-",E6/ABS(C6))</f>
        <v>-0.0390625</v>
      </c>
      <c r="G6" s="9" t="s">
        <v>159</v>
      </c>
      <c r="H6" s="7" t="n">
        <f aca="false">-(B6-D6)</f>
        <v>-160000</v>
      </c>
      <c r="I6" s="8" t="n">
        <f aca="false">IF(D6=0,"-",H6/ABS(D6))</f>
        <v>-0.0121765601217656</v>
      </c>
      <c r="J6" s="13" t="s">
        <v>40</v>
      </c>
    </row>
    <row r="7" customFormat="false" ht="23.85" hidden="false" customHeight="false" outlineLevel="0" collapsed="false">
      <c r="A7" s="5" t="s">
        <v>160</v>
      </c>
      <c r="B7" s="6" t="n">
        <v>800000</v>
      </c>
      <c r="C7" s="6" t="n">
        <v>200000</v>
      </c>
      <c r="D7" s="6" t="n">
        <v>1200000</v>
      </c>
      <c r="E7" s="7" t="n">
        <f aca="false">-(B7-C7)</f>
        <v>-600000</v>
      </c>
      <c r="F7" s="8" t="n">
        <f aca="false">IF(C7=0,"-",E7/ABS(C7))</f>
        <v>-3</v>
      </c>
      <c r="G7" s="9" t="s">
        <v>161</v>
      </c>
      <c r="H7" s="7" t="n">
        <f aca="false">-(B7-D7)</f>
        <v>400000</v>
      </c>
      <c r="I7" s="8" t="n">
        <f aca="false">IF(D7=0,"-",H7/ABS(D7))</f>
        <v>0.333333333333333</v>
      </c>
      <c r="J7" s="9" t="s">
        <v>162</v>
      </c>
    </row>
    <row r="8" customFormat="false" ht="15" hidden="false" customHeight="false" outlineLevel="0" collapsed="false">
      <c r="A8" s="5" t="s">
        <v>163</v>
      </c>
      <c r="B8" s="6" t="n">
        <v>695000</v>
      </c>
      <c r="C8" s="6" t="n">
        <v>660000</v>
      </c>
      <c r="D8" s="6" t="n">
        <v>678000</v>
      </c>
      <c r="E8" s="7" t="n">
        <f aca="false">-(B8-C8)</f>
        <v>-35000</v>
      </c>
      <c r="F8" s="8" t="n">
        <f aca="false">IF(C8=0,"-",E8/ABS(C8))</f>
        <v>-0.053030303030303</v>
      </c>
      <c r="G8" s="9" t="s">
        <v>164</v>
      </c>
      <c r="H8" s="7" t="n">
        <f aca="false">-(B8-D8)</f>
        <v>-17000</v>
      </c>
      <c r="I8" s="8" t="n">
        <f aca="false">IF(D8=0,"-",H8/ABS(D8))</f>
        <v>-0.0250737463126844</v>
      </c>
      <c r="J8" s="13" t="s">
        <v>40</v>
      </c>
    </row>
    <row r="9" customFormat="false" ht="15" hidden="false" customHeight="false" outlineLevel="0" collapsed="false">
      <c r="A9" s="10" t="s">
        <v>43</v>
      </c>
      <c r="B9" s="11" t="n">
        <f aca="false">B6+B7+B8</f>
        <v>14795000</v>
      </c>
      <c r="C9" s="11" t="n">
        <f aca="false">C6+C7+C8</f>
        <v>13660000</v>
      </c>
      <c r="D9" s="11" t="n">
        <f aca="false">D6+D7+D8</f>
        <v>15018000</v>
      </c>
      <c r="E9" s="11" t="n">
        <f aca="false">E6+E7+E8</f>
        <v>-1135000</v>
      </c>
      <c r="F9" s="12"/>
      <c r="G9" s="12"/>
      <c r="H9" s="11" t="n">
        <f aca="false">H6+H7+H8</f>
        <v>223000</v>
      </c>
      <c r="I9" s="12"/>
      <c r="J9" s="12"/>
    </row>
  </sheetData>
  <mergeCells count="3">
    <mergeCell ref="A1:J1"/>
    <mergeCell ref="A2:J2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FCE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165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150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158</v>
      </c>
      <c r="B6" s="6" t="n">
        <v>26100000</v>
      </c>
      <c r="C6" s="6" t="n">
        <v>25740000</v>
      </c>
      <c r="D6" s="7" t="n">
        <f aca="false">-(B6-C6)</f>
        <v>-360000</v>
      </c>
      <c r="E6" s="8" t="n">
        <f aca="false">IF(C6=0,"-",D6/ABS(C6))</f>
        <v>-0.013986013986014</v>
      </c>
      <c r="F6" s="13" t="s">
        <v>40</v>
      </c>
    </row>
    <row r="7" customFormat="false" ht="15" hidden="false" customHeight="false" outlineLevel="0" collapsed="false">
      <c r="A7" s="5" t="s">
        <v>160</v>
      </c>
      <c r="B7" s="6" t="n">
        <v>1000000</v>
      </c>
      <c r="C7" s="6" t="n">
        <v>1600000</v>
      </c>
      <c r="D7" s="7" t="n">
        <f aca="false">-(B7-C7)</f>
        <v>600000</v>
      </c>
      <c r="E7" s="8" t="n">
        <f aca="false">IF(C7=0,"-",D7/ABS(C7))</f>
        <v>0.375</v>
      </c>
      <c r="F7" s="9" t="s">
        <v>166</v>
      </c>
    </row>
    <row r="8" customFormat="false" ht="15" hidden="false" customHeight="false" outlineLevel="0" collapsed="false">
      <c r="A8" s="5" t="s">
        <v>163</v>
      </c>
      <c r="B8" s="6" t="n">
        <v>1355000</v>
      </c>
      <c r="C8" s="6" t="n">
        <v>1311000</v>
      </c>
      <c r="D8" s="7" t="n">
        <f aca="false">-(B8-C8)</f>
        <v>-44000</v>
      </c>
      <c r="E8" s="8" t="n">
        <f aca="false">IF(C8=0,"-",D8/ABS(C8))</f>
        <v>-0.0335621662852784</v>
      </c>
      <c r="F8" s="13" t="s">
        <v>40</v>
      </c>
    </row>
    <row r="9" customFormat="false" ht="15" hidden="false" customHeight="false" outlineLevel="0" collapsed="false">
      <c r="A9" s="10" t="s">
        <v>43</v>
      </c>
      <c r="B9" s="11" t="n">
        <f aca="false">B6+B7+B8</f>
        <v>28455000</v>
      </c>
      <c r="C9" s="11" t="n">
        <f aca="false">C6+C7+C8</f>
        <v>28651000</v>
      </c>
      <c r="D9" s="11" t="n">
        <f aca="false">D6+D7+D8</f>
        <v>196000</v>
      </c>
      <c r="E9" s="12"/>
      <c r="F9" s="12"/>
    </row>
  </sheetData>
  <mergeCells count="3">
    <mergeCell ref="A1:F1"/>
    <mergeCell ref="A2:F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FCE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167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168</v>
      </c>
      <c r="B6" s="6" t="n">
        <v>5700000</v>
      </c>
      <c r="C6" s="6" t="n">
        <v>5600000</v>
      </c>
      <c r="D6" s="7" t="n">
        <f aca="false">B6-C6</f>
        <v>100000</v>
      </c>
      <c r="E6" s="8" t="n">
        <f aca="false">IF(C6=0,"-",D6/ABS(C6))</f>
        <v>0.0178571428571429</v>
      </c>
      <c r="F6" s="13" t="s">
        <v>40</v>
      </c>
    </row>
    <row r="7" customFormat="false" ht="15" hidden="false" customHeight="false" outlineLevel="0" collapsed="false">
      <c r="A7" s="10" t="s">
        <v>77</v>
      </c>
      <c r="B7" s="11" t="n">
        <f aca="false">B6</f>
        <v>5700000</v>
      </c>
      <c r="C7" s="11" t="n">
        <f aca="false">C6</f>
        <v>5600000</v>
      </c>
      <c r="D7" s="11" t="n">
        <f aca="false">D6</f>
        <v>100000</v>
      </c>
      <c r="E7" s="12"/>
      <c r="F7" s="12"/>
    </row>
    <row r="8" customFormat="false" ht="15" hidden="false" customHeight="false" outlineLevel="0" collapsed="false">
      <c r="A8" s="4" t="s">
        <v>78</v>
      </c>
      <c r="B8" s="4"/>
      <c r="C8" s="4"/>
      <c r="D8" s="4"/>
      <c r="E8" s="4"/>
      <c r="F8" s="4"/>
    </row>
    <row r="9" customFormat="false" ht="57.45" hidden="false" customHeight="false" outlineLevel="0" collapsed="false">
      <c r="A9" s="5" t="s">
        <v>169</v>
      </c>
      <c r="B9" s="6" t="n">
        <v>28700000</v>
      </c>
      <c r="C9" s="6" t="n">
        <v>22400000</v>
      </c>
      <c r="D9" s="7" t="n">
        <f aca="false">B9-C9</f>
        <v>6300000</v>
      </c>
      <c r="E9" s="8" t="n">
        <f aca="false">IF(C9=0,"-",D9/ABS(C9))</f>
        <v>0.28125</v>
      </c>
      <c r="F9" s="9" t="s">
        <v>170</v>
      </c>
    </row>
    <row r="10" customFormat="false" ht="15" hidden="false" customHeight="false" outlineLevel="0" collapsed="false">
      <c r="A10" s="10" t="s">
        <v>83</v>
      </c>
      <c r="B10" s="11" t="n">
        <f aca="false">B9</f>
        <v>28700000</v>
      </c>
      <c r="C10" s="11" t="n">
        <f aca="false">C9</f>
        <v>22400000</v>
      </c>
      <c r="D10" s="11" t="n">
        <f aca="false">D9</f>
        <v>6300000</v>
      </c>
      <c r="E10" s="12"/>
      <c r="F10" s="12"/>
    </row>
  </sheetData>
  <mergeCells count="4">
    <mergeCell ref="A1:F1"/>
    <mergeCell ref="A2:F2"/>
    <mergeCell ref="A5:F5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4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172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5.05" hidden="false" customHeight="false" outlineLevel="0" collapsed="false">
      <c r="A6" s="5" t="s">
        <v>173</v>
      </c>
      <c r="B6" s="6" t="n">
        <v>2200000</v>
      </c>
      <c r="C6" s="6" t="n">
        <v>1300000</v>
      </c>
      <c r="D6" s="6" t="n">
        <v>2300000</v>
      </c>
      <c r="E6" s="7" t="n">
        <f aca="false">B6-C6</f>
        <v>900000</v>
      </c>
      <c r="F6" s="8" t="n">
        <f aca="false">IF(C6=0,"-",E6/ABS(C6))</f>
        <v>0.692307692307692</v>
      </c>
      <c r="G6" s="9" t="s">
        <v>174</v>
      </c>
      <c r="H6" s="7" t="n">
        <f aca="false">B6-D6</f>
        <v>-100000</v>
      </c>
      <c r="I6" s="8" t="n">
        <f aca="false">IF(D6=0,"-",H6/ABS(D6))</f>
        <v>-0.0434782608695652</v>
      </c>
      <c r="J6" s="13" t="s">
        <v>40</v>
      </c>
    </row>
    <row r="7" customFormat="false" ht="23.85" hidden="false" customHeight="false" outlineLevel="0" collapsed="false">
      <c r="A7" s="5" t="s">
        <v>175</v>
      </c>
      <c r="B7" s="6" t="n">
        <v>-150000</v>
      </c>
      <c r="C7" s="6" t="n">
        <v>200000</v>
      </c>
      <c r="D7" s="6" t="n">
        <v>-300000</v>
      </c>
      <c r="E7" s="7" t="n">
        <f aca="false">B7-C7</f>
        <v>-350000</v>
      </c>
      <c r="F7" s="8" t="n">
        <f aca="false">IF(C7=0,"-",E7/ABS(C7))</f>
        <v>-1.75</v>
      </c>
      <c r="G7" s="9" t="s">
        <v>176</v>
      </c>
      <c r="H7" s="7" t="n">
        <f aca="false">B7-D7</f>
        <v>150000</v>
      </c>
      <c r="I7" s="8" t="n">
        <f aca="false">IF(D7=0,"-",H7/ABS(D7))</f>
        <v>0.5</v>
      </c>
      <c r="J7" s="9" t="s">
        <v>177</v>
      </c>
    </row>
    <row r="8" customFormat="false" ht="15" hidden="false" customHeight="false" outlineLevel="0" collapsed="false">
      <c r="A8" s="10" t="s">
        <v>178</v>
      </c>
      <c r="B8" s="11" t="n">
        <f aca="false">B6+B7</f>
        <v>2050000</v>
      </c>
      <c r="C8" s="11" t="n">
        <f aca="false">C6+C7</f>
        <v>1500000</v>
      </c>
      <c r="D8" s="11" t="n">
        <f aca="false">D6+D7</f>
        <v>2000000</v>
      </c>
      <c r="E8" s="11" t="n">
        <f aca="false">E6+E7</f>
        <v>550000</v>
      </c>
      <c r="F8" s="12"/>
      <c r="G8" s="12"/>
      <c r="H8" s="11" t="n">
        <f aca="false">H6+H7</f>
        <v>50000</v>
      </c>
      <c r="I8" s="12"/>
      <c r="J8" s="12"/>
    </row>
    <row r="10" customFormat="false" ht="15" hidden="false" customHeight="false" outlineLevel="0" collapsed="false">
      <c r="A10" s="4" t="s">
        <v>34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5" t="s">
        <v>179</v>
      </c>
      <c r="B11" s="6" t="n">
        <v>11410000</v>
      </c>
      <c r="C11" s="6" t="n">
        <v>11190000</v>
      </c>
      <c r="D11" s="6" t="n">
        <v>11260000</v>
      </c>
      <c r="E11" s="7" t="n">
        <f aca="false">-(B11-C11)</f>
        <v>-220000</v>
      </c>
      <c r="F11" s="8" t="n">
        <f aca="false">IF(C11=0,"-",E11/ABS(C11))</f>
        <v>-0.0196604110813226</v>
      </c>
      <c r="G11" s="13" t="s">
        <v>40</v>
      </c>
      <c r="H11" s="7" t="n">
        <f aca="false">-(B11-D11)</f>
        <v>-150000</v>
      </c>
      <c r="I11" s="8" t="n">
        <f aca="false">IF(D11=0,"-",H11/ABS(D11))</f>
        <v>-0.0133214920071048</v>
      </c>
      <c r="J11" s="13" t="s">
        <v>40</v>
      </c>
    </row>
    <row r="12" customFormat="false" ht="15" hidden="false" customHeight="false" outlineLevel="0" collapsed="false">
      <c r="A12" s="10" t="s">
        <v>43</v>
      </c>
      <c r="B12" s="11" t="n">
        <f aca="false">B11</f>
        <v>11410000</v>
      </c>
      <c r="C12" s="11" t="n">
        <f aca="false">C11</f>
        <v>11190000</v>
      </c>
      <c r="D12" s="11" t="n">
        <f aca="false">D11</f>
        <v>11260000</v>
      </c>
      <c r="E12" s="11" t="n">
        <f aca="false">E11</f>
        <v>-220000</v>
      </c>
      <c r="F12" s="12"/>
      <c r="G12" s="12"/>
      <c r="H12" s="11" t="n">
        <f aca="false">H11</f>
        <v>-150000</v>
      </c>
      <c r="I12" s="12"/>
      <c r="J12" s="12"/>
    </row>
  </sheetData>
  <mergeCells count="4">
    <mergeCell ref="A1:J1"/>
    <mergeCell ref="A2:J2"/>
    <mergeCell ref="A5:J5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4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180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150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172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173</v>
      </c>
      <c r="B6" s="6" t="n">
        <v>3500000</v>
      </c>
      <c r="C6" s="6" t="n">
        <v>3000000</v>
      </c>
      <c r="D6" s="7" t="n">
        <f aca="false">B6-C6</f>
        <v>500000</v>
      </c>
      <c r="E6" s="8" t="n">
        <f aca="false">IF(C6=0,"-",D6/ABS(C6))</f>
        <v>0.166666666666667</v>
      </c>
      <c r="F6" s="9" t="s">
        <v>181</v>
      </c>
    </row>
    <row r="7" customFormat="false" ht="15" hidden="false" customHeight="false" outlineLevel="0" collapsed="false">
      <c r="A7" s="5" t="s">
        <v>175</v>
      </c>
      <c r="B7" s="6" t="n">
        <v>50000</v>
      </c>
      <c r="C7" s="6" t="n">
        <v>-200000</v>
      </c>
      <c r="D7" s="7" t="n">
        <f aca="false">B7-C7</f>
        <v>250000</v>
      </c>
      <c r="E7" s="8" t="n">
        <f aca="false">IF(C7=0,"-",D7/ABS(C7))</f>
        <v>1.25</v>
      </c>
      <c r="F7" s="9" t="s">
        <v>182</v>
      </c>
    </row>
    <row r="8" customFormat="false" ht="15" hidden="false" customHeight="false" outlineLevel="0" collapsed="false">
      <c r="A8" s="10" t="s">
        <v>178</v>
      </c>
      <c r="B8" s="11" t="n">
        <f aca="false">B6+B7</f>
        <v>3550000</v>
      </c>
      <c r="C8" s="11" t="n">
        <f aca="false">C6+C7</f>
        <v>2800000</v>
      </c>
      <c r="D8" s="11" t="n">
        <f aca="false">D6+D7</f>
        <v>750000</v>
      </c>
      <c r="E8" s="12"/>
      <c r="F8" s="12"/>
    </row>
    <row r="10" customFormat="false" ht="15" hidden="false" customHeight="false" outlineLevel="0" collapsed="false">
      <c r="A10" s="4" t="s">
        <v>34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5" t="s">
        <v>179</v>
      </c>
      <c r="B11" s="6" t="n">
        <v>22600000</v>
      </c>
      <c r="C11" s="6" t="n">
        <v>22290000</v>
      </c>
      <c r="D11" s="7" t="n">
        <f aca="false">-(B11-C11)</f>
        <v>-310000</v>
      </c>
      <c r="E11" s="8" t="n">
        <f aca="false">IF(C11=0,"-",D11/ABS(C11))</f>
        <v>-0.0139075818752804</v>
      </c>
      <c r="F11" s="13" t="s">
        <v>40</v>
      </c>
    </row>
    <row r="12" customFormat="false" ht="15" hidden="false" customHeight="false" outlineLevel="0" collapsed="false">
      <c r="A12" s="10" t="s">
        <v>43</v>
      </c>
      <c r="B12" s="11" t="n">
        <f aca="false">B11</f>
        <v>22600000</v>
      </c>
      <c r="C12" s="11" t="n">
        <f aca="false">C11</f>
        <v>22290000</v>
      </c>
      <c r="D12" s="11" t="n">
        <f aca="false">D11</f>
        <v>-310000</v>
      </c>
      <c r="E12" s="12"/>
      <c r="F12" s="12"/>
    </row>
  </sheetData>
  <mergeCells count="4">
    <mergeCell ref="A1:F1"/>
    <mergeCell ref="A2:F2"/>
    <mergeCell ref="A5:F5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4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183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184</v>
      </c>
      <c r="B6" s="6" t="n">
        <v>130000000</v>
      </c>
      <c r="C6" s="6" t="n">
        <v>130000000</v>
      </c>
      <c r="D6" s="7" t="n">
        <f aca="false">B6-C6</f>
        <v>0</v>
      </c>
      <c r="E6" s="8" t="n">
        <f aca="false">IF(C6=0,"-",D6/ABS(C6))</f>
        <v>0</v>
      </c>
      <c r="F6" s="13" t="s">
        <v>40</v>
      </c>
    </row>
    <row r="7" customFormat="false" ht="15" hidden="false" customHeight="false" outlineLevel="0" collapsed="false">
      <c r="A7" s="5" t="s">
        <v>185</v>
      </c>
      <c r="B7" s="6" t="n">
        <v>125000000</v>
      </c>
      <c r="C7" s="6" t="n">
        <v>125000000</v>
      </c>
      <c r="D7" s="7" t="n">
        <f aca="false">B7-C7</f>
        <v>0</v>
      </c>
      <c r="E7" s="8" t="n">
        <f aca="false">IF(C7=0,"-",D7/ABS(C7))</f>
        <v>0</v>
      </c>
      <c r="F7" s="13" t="s">
        <v>40</v>
      </c>
    </row>
    <row r="8" customFormat="false" ht="23.85" hidden="false" customHeight="false" outlineLevel="0" collapsed="false">
      <c r="A8" s="5" t="s">
        <v>186</v>
      </c>
      <c r="B8" s="6" t="n">
        <v>53000000</v>
      </c>
      <c r="C8" s="6" t="n">
        <v>55700000</v>
      </c>
      <c r="D8" s="7" t="n">
        <f aca="false">B8-C8</f>
        <v>-2700000</v>
      </c>
      <c r="E8" s="8" t="n">
        <f aca="false">IF(C8=0,"-",D8/ABS(C8))</f>
        <v>-0.0484739676840215</v>
      </c>
      <c r="F8" s="9" t="s">
        <v>187</v>
      </c>
    </row>
    <row r="9" customFormat="false" ht="35.05" hidden="false" customHeight="false" outlineLevel="0" collapsed="false">
      <c r="A9" s="5" t="s">
        <v>188</v>
      </c>
      <c r="B9" s="6" t="n">
        <v>15500000</v>
      </c>
      <c r="C9" s="6" t="n">
        <v>14700000</v>
      </c>
      <c r="D9" s="7" t="n">
        <f aca="false">B9-C9</f>
        <v>800000</v>
      </c>
      <c r="E9" s="8" t="n">
        <f aca="false">IF(C9=0,"-",D9/ABS(C9))</f>
        <v>0.054421768707483</v>
      </c>
      <c r="F9" s="9" t="s">
        <v>189</v>
      </c>
    </row>
    <row r="10" customFormat="false" ht="23.85" hidden="false" customHeight="false" outlineLevel="0" collapsed="false">
      <c r="A10" s="5" t="s">
        <v>190</v>
      </c>
      <c r="B10" s="6" t="n">
        <v>8500000</v>
      </c>
      <c r="C10" s="6" t="n">
        <v>7200000</v>
      </c>
      <c r="D10" s="7" t="n">
        <f aca="false">B10-C10</f>
        <v>1300000</v>
      </c>
      <c r="E10" s="8" t="n">
        <f aca="false">IF(C10=0,"-",D10/ABS(C10))</f>
        <v>0.180555555555556</v>
      </c>
      <c r="F10" s="9" t="s">
        <v>191</v>
      </c>
    </row>
    <row r="11" customFormat="false" ht="15" hidden="false" customHeight="false" outlineLevel="0" collapsed="false">
      <c r="A11" s="10" t="s">
        <v>77</v>
      </c>
      <c r="B11" s="11" t="n">
        <f aca="false">B6+B7+B8+B9+B10</f>
        <v>332000000</v>
      </c>
      <c r="C11" s="11" t="n">
        <f aca="false">C6+C7+C8+C9+C10</f>
        <v>332600000</v>
      </c>
      <c r="D11" s="11" t="n">
        <f aca="false">D6+D7+D8+D9+D10</f>
        <v>-600000</v>
      </c>
      <c r="E11" s="12"/>
      <c r="F11" s="12"/>
    </row>
    <row r="12" customFormat="false" ht="15" hidden="false" customHeight="false" outlineLevel="0" collapsed="false">
      <c r="A12" s="4" t="s">
        <v>78</v>
      </c>
      <c r="B12" s="4"/>
      <c r="C12" s="4"/>
      <c r="D12" s="4"/>
      <c r="E12" s="4"/>
      <c r="F12" s="4"/>
    </row>
    <row r="13" customFormat="false" ht="23.85" hidden="false" customHeight="false" outlineLevel="0" collapsed="false">
      <c r="A13" s="5" t="s">
        <v>192</v>
      </c>
      <c r="B13" s="6" t="n">
        <v>22200000</v>
      </c>
      <c r="C13" s="6" t="n">
        <v>18500000</v>
      </c>
      <c r="D13" s="7" t="n">
        <f aca="false">B13-C13</f>
        <v>3700000</v>
      </c>
      <c r="E13" s="8" t="n">
        <f aca="false">IF(C13=0,"-",D13/ABS(C13))</f>
        <v>0.2</v>
      </c>
      <c r="F13" s="9" t="s">
        <v>193</v>
      </c>
    </row>
    <row r="14" customFormat="false" ht="23.85" hidden="false" customHeight="false" outlineLevel="0" collapsed="false">
      <c r="A14" s="5" t="s">
        <v>194</v>
      </c>
      <c r="B14" s="6" t="n">
        <v>85000000</v>
      </c>
      <c r="C14" s="6" t="n">
        <v>90000000</v>
      </c>
      <c r="D14" s="7" t="n">
        <f aca="false">B14-C14</f>
        <v>-5000000</v>
      </c>
      <c r="E14" s="8" t="n">
        <f aca="false">IF(C14=0,"-",D14/ABS(C14))</f>
        <v>-0.0555555555555556</v>
      </c>
      <c r="F14" s="9" t="s">
        <v>195</v>
      </c>
    </row>
    <row r="15" customFormat="false" ht="23.85" hidden="false" customHeight="false" outlineLevel="0" collapsed="false">
      <c r="A15" s="5" t="s">
        <v>196</v>
      </c>
      <c r="B15" s="6" t="n">
        <v>22000000</v>
      </c>
      <c r="C15" s="6" t="n">
        <v>19500000</v>
      </c>
      <c r="D15" s="7" t="n">
        <f aca="false">B15-C15</f>
        <v>2500000</v>
      </c>
      <c r="E15" s="8" t="n">
        <f aca="false">IF(C15=0,"-",D15/ABS(C15))</f>
        <v>0.128205128205128</v>
      </c>
      <c r="F15" s="9" t="s">
        <v>197</v>
      </c>
    </row>
    <row r="16" customFormat="false" ht="23.85" hidden="false" customHeight="false" outlineLevel="0" collapsed="false">
      <c r="A16" s="5" t="s">
        <v>198</v>
      </c>
      <c r="B16" s="6" t="n">
        <v>28200000</v>
      </c>
      <c r="C16" s="6" t="n">
        <v>29600000</v>
      </c>
      <c r="D16" s="7" t="n">
        <f aca="false">B16-C16</f>
        <v>-1400000</v>
      </c>
      <c r="E16" s="8" t="n">
        <f aca="false">IF(C16=0,"-",D16/ABS(C16))</f>
        <v>-0.0472972972972973</v>
      </c>
      <c r="F16" s="9" t="s">
        <v>199</v>
      </c>
    </row>
    <row r="17" customFormat="false" ht="15" hidden="false" customHeight="false" outlineLevel="0" collapsed="false">
      <c r="A17" s="5" t="s">
        <v>200</v>
      </c>
      <c r="B17" s="6" t="n">
        <v>8500000</v>
      </c>
      <c r="C17" s="6" t="n">
        <v>7200000</v>
      </c>
      <c r="D17" s="7" t="n">
        <f aca="false">B17-C17</f>
        <v>1300000</v>
      </c>
      <c r="E17" s="8" t="n">
        <f aca="false">IF(C17=0,"-",D17/ABS(C17))</f>
        <v>0.180555555555556</v>
      </c>
      <c r="F17" s="9" t="s">
        <v>201</v>
      </c>
    </row>
    <row r="18" customFormat="false" ht="46.25" hidden="false" customHeight="false" outlineLevel="0" collapsed="false">
      <c r="A18" s="5" t="s">
        <v>202</v>
      </c>
      <c r="B18" s="6" t="n">
        <v>213500000</v>
      </c>
      <c r="C18" s="6" t="n">
        <v>211200000</v>
      </c>
      <c r="D18" s="7" t="n">
        <f aca="false">B18-C18</f>
        <v>2300000</v>
      </c>
      <c r="E18" s="8" t="n">
        <f aca="false">IF(C18=0,"-",D18/ABS(C18))</f>
        <v>0.0108901515151515</v>
      </c>
      <c r="F18" s="9" t="s">
        <v>203</v>
      </c>
    </row>
    <row r="19" customFormat="false" ht="15" hidden="false" customHeight="false" outlineLevel="0" collapsed="false">
      <c r="A19" s="10" t="s">
        <v>83</v>
      </c>
      <c r="B19" s="11" t="n">
        <f aca="false">B13+B14+B15+B16+B17+B18</f>
        <v>379400000</v>
      </c>
      <c r="C19" s="11" t="n">
        <f aca="false">C13+C14+C15+C16+C17+C18</f>
        <v>376000000</v>
      </c>
      <c r="D19" s="11" t="n">
        <f aca="false">D13+D14+D15+D16+D17+D18</f>
        <v>3400000</v>
      </c>
      <c r="E19" s="12"/>
      <c r="F19" s="12"/>
    </row>
  </sheetData>
  <mergeCells count="4">
    <mergeCell ref="A1:F1"/>
    <mergeCell ref="A2:F2"/>
    <mergeCell ref="A5:F5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65"/>
  </cols>
  <sheetData>
    <row r="1" customFormat="false" ht="17.35" hidden="false" customHeight="fals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57.45" hidden="false" customHeight="false" outlineLevel="0" collapsed="false">
      <c r="A6" s="5" t="s">
        <v>205</v>
      </c>
      <c r="B6" s="6" t="n">
        <v>21050000</v>
      </c>
      <c r="C6" s="6" t="n">
        <v>20230000</v>
      </c>
      <c r="D6" s="6" t="n">
        <v>20750000</v>
      </c>
      <c r="E6" s="7" t="n">
        <f aca="false">-(B6-C6)</f>
        <v>-820000</v>
      </c>
      <c r="F6" s="8" t="n">
        <f aca="false">IF(C6=0,"-",E6/ABS(C6))</f>
        <v>-0.0405338606030648</v>
      </c>
      <c r="G6" s="9" t="s">
        <v>206</v>
      </c>
      <c r="H6" s="7" t="n">
        <f aca="false">-(B6-D6)</f>
        <v>-300000</v>
      </c>
      <c r="I6" s="8" t="n">
        <f aca="false">IF(D6=0,"-",H6/ABS(D6))</f>
        <v>-0.0144578313253012</v>
      </c>
      <c r="J6" s="13" t="s">
        <v>40</v>
      </c>
    </row>
    <row r="7" customFormat="false" ht="15" hidden="false" customHeight="false" outlineLevel="0" collapsed="false">
      <c r="A7" s="10" t="s">
        <v>43</v>
      </c>
      <c r="B7" s="11" t="n">
        <f aca="false">B6</f>
        <v>21050000</v>
      </c>
      <c r="C7" s="11" t="n">
        <f aca="false">C6</f>
        <v>20230000</v>
      </c>
      <c r="D7" s="11" t="n">
        <f aca="false">D6</f>
        <v>20750000</v>
      </c>
      <c r="E7" s="11" t="n">
        <f aca="false">E6</f>
        <v>-820000</v>
      </c>
      <c r="F7" s="12"/>
      <c r="G7" s="12"/>
      <c r="H7" s="11" t="n">
        <f aca="false">H6</f>
        <v>-300000</v>
      </c>
      <c r="I7" s="12"/>
      <c r="J7" s="12"/>
    </row>
  </sheetData>
  <mergeCells count="3">
    <mergeCell ref="A1:J1"/>
    <mergeCell ref="A2:J2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207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150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7" t="s">
        <v>2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</row>
    <row r="5" customFormat="false" ht="15" hidden="false" customHeight="false" outlineLevel="0" collapsed="false">
      <c r="A5" s="4" t="s">
        <v>34</v>
      </c>
      <c r="B5" s="4"/>
      <c r="C5" s="4"/>
      <c r="D5" s="4"/>
      <c r="E5" s="4"/>
      <c r="F5" s="4"/>
    </row>
    <row r="6" customFormat="false" ht="23.85" hidden="false" customHeight="false" outlineLevel="0" collapsed="false">
      <c r="A6" s="5" t="s">
        <v>205</v>
      </c>
      <c r="B6" s="6" t="n">
        <v>41280000</v>
      </c>
      <c r="C6" s="6" t="n">
        <v>40490000</v>
      </c>
      <c r="D6" s="7" t="n">
        <f aca="false">-(B6-C6)</f>
        <v>-790000</v>
      </c>
      <c r="E6" s="8" t="n">
        <f aca="false">IF(C6=0,"-",D6/ABS(C6))</f>
        <v>-0.0195109903679921</v>
      </c>
      <c r="F6" s="9" t="s">
        <v>208</v>
      </c>
    </row>
    <row r="7" customFormat="false" ht="15" hidden="false" customHeight="false" outlineLevel="0" collapsed="false">
      <c r="A7" s="10" t="s">
        <v>43</v>
      </c>
      <c r="B7" s="11" t="n">
        <f aca="false">B6</f>
        <v>41280000</v>
      </c>
      <c r="C7" s="11" t="n">
        <f aca="false">C6</f>
        <v>40490000</v>
      </c>
      <c r="D7" s="11" t="n">
        <f aca="false">D6</f>
        <v>-790000</v>
      </c>
      <c r="E7" s="12"/>
      <c r="F7" s="12"/>
    </row>
  </sheetData>
  <mergeCells count="3">
    <mergeCell ref="A1:F1"/>
    <mergeCell ref="A2:F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209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18" t="s">
        <v>2</v>
      </c>
      <c r="B4" s="18" t="s">
        <v>63</v>
      </c>
      <c r="C4" s="18" t="s">
        <v>64</v>
      </c>
      <c r="D4" s="18" t="s">
        <v>65</v>
      </c>
      <c r="E4" s="18" t="s">
        <v>66</v>
      </c>
      <c r="F4" s="18" t="s">
        <v>67</v>
      </c>
    </row>
    <row r="5" customFormat="false" ht="15" hidden="false" customHeight="false" outlineLevel="0" collapsed="false">
      <c r="A5" s="4" t="s">
        <v>68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210</v>
      </c>
      <c r="B6" s="6" t="n">
        <v>18100000</v>
      </c>
      <c r="C6" s="6" t="n">
        <v>17800000</v>
      </c>
      <c r="D6" s="7" t="n">
        <f aca="false">B6-C6</f>
        <v>300000</v>
      </c>
      <c r="E6" s="8" t="n">
        <f aca="false">IF(C6=0,"-",D6/ABS(C6))</f>
        <v>0.0168539325842697</v>
      </c>
      <c r="F6" s="13" t="s">
        <v>40</v>
      </c>
    </row>
    <row r="7" customFormat="false" ht="15" hidden="false" customHeight="false" outlineLevel="0" collapsed="false">
      <c r="A7" s="10" t="s">
        <v>77</v>
      </c>
      <c r="B7" s="11" t="n">
        <f aca="false">B6</f>
        <v>18100000</v>
      </c>
      <c r="C7" s="11" t="n">
        <f aca="false">C6</f>
        <v>17800000</v>
      </c>
      <c r="D7" s="11" t="n">
        <f aca="false">D6</f>
        <v>300000</v>
      </c>
      <c r="E7" s="12"/>
      <c r="F7" s="12"/>
    </row>
    <row r="8" customFormat="false" ht="15" hidden="false" customHeight="false" outlineLevel="0" collapsed="false">
      <c r="A8" s="4" t="s">
        <v>78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5" t="s">
        <v>211</v>
      </c>
      <c r="B9" s="6" t="n">
        <v>8500000</v>
      </c>
      <c r="C9" s="6" t="n">
        <v>8700000</v>
      </c>
      <c r="D9" s="7" t="n">
        <f aca="false">B9-C9</f>
        <v>-200000</v>
      </c>
      <c r="E9" s="8" t="n">
        <f aca="false">IF(C9=0,"-",D9/ABS(C9))</f>
        <v>-0.0229885057471264</v>
      </c>
      <c r="F9" s="13" t="s">
        <v>40</v>
      </c>
    </row>
    <row r="10" customFormat="false" ht="15" hidden="false" customHeight="false" outlineLevel="0" collapsed="false">
      <c r="A10" s="10" t="s">
        <v>83</v>
      </c>
      <c r="B10" s="11" t="n">
        <f aca="false">B9</f>
        <v>8500000</v>
      </c>
      <c r="C10" s="11" t="n">
        <f aca="false">C9</f>
        <v>8700000</v>
      </c>
      <c r="D10" s="11" t="n">
        <f aca="false">D9</f>
        <v>-200000</v>
      </c>
      <c r="E10" s="12"/>
      <c r="F10" s="12"/>
    </row>
  </sheetData>
  <mergeCells count="4">
    <mergeCell ref="A1:F1"/>
    <mergeCell ref="A2:F2"/>
    <mergeCell ref="A5:F5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2026-03-22T18:06:33Z</dcterms:created>
  <dc:creator>openpyxl</dc:creator>
  <dc:description/>
  <dc:language>en-US</dc:language>
  <cp:lastModifiedBy/>
  <dcterms:modified xsi:type="dcterms:W3CDTF">2026-03-22T18:06:33Z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