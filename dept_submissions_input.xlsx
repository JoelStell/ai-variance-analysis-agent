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nterprise Solutions Qtr PL" sheetId="1" state="visible" r:id="rId3"/>
    <sheet name="Enterprise Solutions YTD PL" sheetId="2" state="visible" r:id="rId4"/>
    <sheet name="Enterprise Solutions BS" sheetId="3" state="visible" r:id="rId5"/>
    <sheet name="Cloud &amp; Service Provid Qtr PL" sheetId="4" state="visible" r:id="rId6"/>
    <sheet name="Cloud &amp; Service Provid YTD PL" sheetId="5" state="visible" r:id="rId7"/>
    <sheet name="Cloud &amp; Service Provid BS" sheetId="6" state="visible" r:id="rId8"/>
    <sheet name="Security &amp; AI Qtr PL" sheetId="7" state="visible" r:id="rId9"/>
    <sheet name="Security &amp; AI YTD PL" sheetId="8" state="visible" r:id="rId10"/>
    <sheet name="Security &amp; AI BS" sheetId="9" state="visible" r:id="rId11"/>
    <sheet name="Legal Qtr PL" sheetId="10" state="visible" r:id="rId12"/>
    <sheet name="Legal YTD PL" sheetId="11" state="visible" r:id="rId13"/>
    <sheet name="Legal BS" sheetId="12" state="visible" r:id="rId14"/>
    <sheet name="HR Qtr PL" sheetId="13" state="visible" r:id="rId15"/>
    <sheet name="HR YTD PL" sheetId="14" state="visible" r:id="rId16"/>
    <sheet name="HR BS" sheetId="15" state="visible" r:id="rId17"/>
    <sheet name="Corp Finance Qtr PL" sheetId="16" state="visible" r:id="rId18"/>
    <sheet name="Corp Finance YTD PL" sheetId="17" state="visible" r:id="rId19"/>
    <sheet name="Corp Finance BS" sheetId="18" state="visible" r:id="rId20"/>
    <sheet name="IT &amp; Operations Qtr PL" sheetId="19" state="visible" r:id="rId21"/>
    <sheet name="IT &amp; Operations YTD PL" sheetId="20" state="visible" r:id="rId22"/>
    <sheet name="IT &amp; Operations BS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<sst xmlns="http://schemas.openxmlformats.org/spreadsheetml/2006/main" count="885" uniqueCount="401">
  <si>
    <t xml:space="preserve">Enterprise Solutions — Quarterly P&amp;L</t>
  </si>
  <si>
    <t xml:space="preserve">Type: Operating | Q2 2025 | Material: &gt;5% or &gt;$500K | ($ in thousands)</t>
  </si>
  <si>
    <t xml:space="preserve">Account</t>
  </si>
  <si>
    <t xml:space="preserve">Q2 2025</t>
  </si>
  <si>
    <t xml:space="preserve">Q1 2025</t>
  </si>
  <si>
    <t xml:space="preserve">Q2 2024</t>
  </si>
  <si>
    <t xml:space="preserve">QoQ $ Var</t>
  </si>
  <si>
    <t xml:space="preserve">QoQ %</t>
  </si>
  <si>
    <t xml:space="preserve">QoQ Explanation
(Material Only)</t>
  </si>
  <si>
    <t xml:space="preserve">YoY $ Var</t>
  </si>
  <si>
    <t xml:space="preserve">YoY %</t>
  </si>
  <si>
    <t xml:space="preserve">YoY Explanation
(Material Only)</t>
  </si>
  <si>
    <t xml:space="preserve">Revenue</t>
  </si>
  <si>
    <t xml:space="preserve">Product Revenue - Routing &amp; Switching</t>
  </si>
  <si>
    <t xml:space="preserve">Favorable $4,000K QoQ: Campus refresh +$4,200K (3 higher-ed deals). Cisco displacement at 2 Fortune 500 +$1,800K. Offset by seasonal timing -$2,000K. Covers ~100%.</t>
  </si>
  <si>
    <t xml:space="preserve">Favorable $2,000K YoY: Campus refresh +$4,200K. Competitive wins +$1,800K. Offset by lower ASP mix -$4,000K. Covers ~100%.</t>
  </si>
  <si>
    <t xml:space="preserve">Product Revenue - SD-WAN Appliances</t>
  </si>
  <si>
    <t xml:space="preserve">Favorable $3,000K QoQ: SSR platform launch +$2,100K. Federal FY-end +$3,500K. Q1 large deal non-repeat -$2,600K. Covers ~100%.</t>
  </si>
  <si>
    <t xml:space="preserve">Favorable $2,000K YoY: Branch modernization. SSR +$2,100K. Federal +$1,700K. EMEA softness -$1,800K. Covers ~100%.</t>
  </si>
  <si>
    <t xml:space="preserve">Product Revenue - Wireless (Campus)</t>
  </si>
  <si>
    <t xml:space="preserve">Favorable $1,000K QoQ: Mist AP refresh +$600K. Wi-Fi 7 AP46 ASP uplift +$400K.</t>
  </si>
  <si>
    <t xml:space="preserve">Favorable $500K YoY: Wi-Fi 7 ASP +$1,200K. Healthcare wins +$800K. Lower unit volume -$1,500K. Covers ~100%.</t>
  </si>
  <si>
    <t xml:space="preserve">Software License Revenue</t>
  </si>
  <si>
    <t xml:space="preserve">Favorable $2,000K QoQ: 3 campus fabric deployments +$2,400K. SLE premium at 34% +$600K. Junos Space timing -$1,000K. Covers ~100%.</t>
  </si>
  <si>
    <t xml:space="preserve">Favorable $1,000K YoY: Higher perpetual attach +$2,400K. SLE +$600K. Subscription shift -$2,000K.</t>
  </si>
  <si>
    <t xml:space="preserve">Subscription Revenue - Mist AI</t>
  </si>
  <si>
    <t xml:space="preserve">Favorable $4,000K QoQ: ARR $118M (from $112M). 340 new logos +$2,800K. NRR 128% expansion +$1,200K. Marvis upsell 41%.</t>
  </si>
  <si>
    <t xml:space="preserve">Favorable $2,000K YoY: New logos +$4,800K. NRR expansion +$2,200K. Churn -$1,400K. Contraction -$800K. Covers ~100%.</t>
  </si>
  <si>
    <t xml:space="preserve">Maintenance &amp; Support Revenue</t>
  </si>
  <si>
    <t xml:space="preserve">Favorable $1,000K QoQ: April price increase +$600K. Attach rate 92%. Renewal rate 89%.</t>
  </si>
  <si>
    <t xml:space="preserve">Favorable $500K YoY: Price increase +$600K. Volume +$400K. Offset -$500K.</t>
  </si>
  <si>
    <t xml:space="preserve">Professional Services Revenue</t>
  </si>
  <si>
    <t xml:space="preserve">Favorable $1,000K QoQ: Utilization 78%. 2 SD-WAN migrations $1,800K started late Q2.</t>
  </si>
  <si>
    <t xml:space="preserve">Favorable $500K YoY: Higher utilization and engagement complexity.</t>
  </si>
  <si>
    <t xml:space="preserve">Total Revenue</t>
  </si>
  <si>
    <t xml:space="preserve">Cost of Revenue</t>
  </si>
  <si>
    <t xml:space="preserve">COGS - Hardware</t>
  </si>
  <si>
    <t xml:space="preserve">Unfavorable ($2,700K) QoQ: Volume +$2,200K. Wi-Fi 7 BOM +$300K. SSR ramp $400K. Freight savings -$200K. Covers ~100%.</t>
  </si>
  <si>
    <t xml:space="preserve">Unfavorable ($1,900K) YoY: Volume +$2,500K. Wi-Fi 7 +$300K. EX4400 mix shift -$900K.</t>
  </si>
  <si>
    <t xml:space="preserve">COGS - Software &amp; Subscription</t>
  </si>
  <si>
    <t xml:space="preserve">Unfavorable ($1,100K) QoQ: Mist hosting +$600K. 2 engineers +$300K. Licenses +$200K. Per-user cost down 4%.</t>
  </si>
  <si>
    <t xml:space="preserve">Unfavorable ($600K) YoY: Cloud scaling +$1,200K. Efficiency gains -$600K.</t>
  </si>
  <si>
    <t xml:space="preserve">Cost of Maintenance &amp; Support</t>
  </si>
  <si>
    <t xml:space="preserve">Immaterial</t>
  </si>
  <si>
    <t xml:space="preserve">Cost of Professional Services</t>
  </si>
  <si>
    <t xml:space="preserve">Unfavorable ($600K) QoQ: SD-WAN subcontractors +$400K. Volume +$200K. Margin improved to 30%.</t>
  </si>
  <si>
    <t xml:space="preserve">Warranty &amp; Inventory Reserves</t>
  </si>
  <si>
    <t xml:space="preserve">Unfavorable ($350K) QoQ: QFX5100 EOL charge $350K. Warranty unchanged 1.6%.</t>
  </si>
  <si>
    <t xml:space="preserve">Total Cost of Revenue</t>
  </si>
  <si>
    <t xml:space="preserve">Segment Operating Expenses</t>
  </si>
  <si>
    <t xml:space="preserve">Sales &amp; Marketing</t>
  </si>
  <si>
    <t xml:space="preserve">Unfavorable ($1,000K) QoQ: Juniper Summit $1,200K. 8 AEs +$600K. Q1 SKO non-repeat +$800K. Covers ~100%.</t>
  </si>
  <si>
    <t xml:space="preserve">Unfavorable ($500K) YoY: Headcount +$600K. Lab +$400K. Campaign +$300K. Event timing -$800K.</t>
  </si>
  <si>
    <t xml:space="preserve">Research &amp; Development</t>
  </si>
  <si>
    <t xml:space="preserve">Unfavorable ($800K) QoQ: 6 Bangalore hires +$400K. Prototype +$180K. Marvis expansion +$220K.</t>
  </si>
  <si>
    <t xml:space="preserve">G&amp;A Allocation</t>
  </si>
  <si>
    <t xml:space="preserve">Channel Partner Commissions</t>
  </si>
  <si>
    <t xml:space="preserve">Favorable $700K QoQ: Higher bookings drove commissions +$400K. Elite tier bonus $450K. Growth accelerator $280K. Q1 catch-up -$430K.</t>
  </si>
  <si>
    <t xml:space="preserve">Stock-Based Compensation</t>
  </si>
  <si>
    <t xml:space="preserve">Immaterial.</t>
  </si>
  <si>
    <t xml:space="preserve">Depreciation &amp; Amortization</t>
  </si>
  <si>
    <t xml:space="preserve">Total Segment Operating Expenses</t>
  </si>
  <si>
    <t xml:space="preserve">GROSS PROFIT</t>
  </si>
  <si>
    <t xml:space="preserve">SEGMENT OPERATING INCOME</t>
  </si>
  <si>
    <t xml:space="preserve">Enterprise Solutions — YTD P&amp;L</t>
  </si>
  <si>
    <t xml:space="preserve">Type: Operating | H1 2025 vs H1 2024 | Material: &gt;5% or &gt;$500K | ($ in thousands)</t>
  </si>
  <si>
    <t xml:space="preserve">H1 2025</t>
  </si>
  <si>
    <t xml:space="preserve">H1 2024</t>
  </si>
  <si>
    <t xml:space="preserve">YTD $ Var</t>
  </si>
  <si>
    <t xml:space="preserve">YTD %</t>
  </si>
  <si>
    <t xml:space="preserve">YTD Explanation
(Material Only)</t>
  </si>
  <si>
    <t xml:space="preserve">Favorable $5,000K YTD: Campus pipeline converting +$6,200K. Q1 seasonal softness -$1,200K. Covers ~100%.</t>
  </si>
  <si>
    <t xml:space="preserve">Favorable $5,000K YTD: SSR platform +$3,800K. Federal +$3,500K. Channel +$1,200K. Pricing pressure -$3,500K. Covers ~100%.</t>
  </si>
  <si>
    <t xml:space="preserve">Favorable $2,500K YTD: Wi-Fi 7 transition. Healthcare +$1,600K. Education +$900K.</t>
  </si>
  <si>
    <t xml:space="preserve">Favorable $3,000K YTD: Campus fabric demand strong. SLE adoption accelerating.</t>
  </si>
  <si>
    <t xml:space="preserve">Favorable $14,000K YTD: 680+ new logos H1. NRR 128%. Marvis cross-sell +$3,200K.</t>
  </si>
  <si>
    <t xml:space="preserve">Favorable $1,500K YTD: Price increase and install base growth.</t>
  </si>
  <si>
    <t xml:space="preserve">Favorable $1,500K YTD: Strong PS demand. Backlog $18M.</t>
  </si>
  <si>
    <t xml:space="preserve">Unfavorable ($5,400K) YTD: Volume-driven across all product lines.</t>
  </si>
  <si>
    <t xml:space="preserve">Unfavorable ($1,900K) YTD: Subscription delivery scaling.</t>
  </si>
  <si>
    <t xml:space="preserve">Unfavorable ($950K) YTD: Subcontractor spend.</t>
  </si>
  <si>
    <t xml:space="preserve">Unfavorable ($1,500K) YTD: Planned headcount and marketing investment.</t>
  </si>
  <si>
    <t xml:space="preserve">Unfavorable ($1,100K) YTD: Mist/Marvis platform investment.</t>
  </si>
  <si>
    <t xml:space="preserve">Unfavorable ($900K) YTD: Bookings growth and new incentive tiers.</t>
  </si>
  <si>
    <t xml:space="preserve">Enterprise Solutions — Balance Sheet</t>
  </si>
  <si>
    <t xml:space="preserve">Type: Operating | Jun 30 2025 vs Dec 31 2024 | Material: &gt;5% or &gt;$500K | ($ in thousands)</t>
  </si>
  <si>
    <t xml:space="preserve">Jun 30 2025</t>
  </si>
  <si>
    <t xml:space="preserve">Dec 31 2024</t>
  </si>
  <si>
    <t xml:space="preserve">Change $</t>
  </si>
  <si>
    <t xml:space="preserve">Change %</t>
  </si>
  <si>
    <t xml:space="preserve">Explanation
(Material Only)</t>
  </si>
  <si>
    <t xml:space="preserve">Segment Assets</t>
  </si>
  <si>
    <t xml:space="preserve">Trade Accounts Receivable</t>
  </si>
  <si>
    <t xml:space="preserve">Increased $6,000K: DSO 48 days (from 43). Fortune 100 deal $6,200K with 60-day terms. Investment grade. Normal Q2 seasonality.</t>
  </si>
  <si>
    <t xml:space="preserve">Allowance for Credit Losses</t>
  </si>
  <si>
    <t xml:space="preserve">Increased ($300K): 2 mid-market accounts 90+ past due. Active collection. CECL updated.</t>
  </si>
  <si>
    <t xml:space="preserve">Contract Assets</t>
  </si>
  <si>
    <t xml:space="preserve">Increased $1,300K: Multi-year Mist deals — revenue ahead of billing milestones. Top 5 = $5.8M.</t>
  </si>
  <si>
    <t xml:space="preserve">Inventory (Net)</t>
  </si>
  <si>
    <t xml:space="preserve">Increased $3,300K: Q3 campus pre-build +$2,000K. Wi-Fi 7 WIP +$700K. Lead time commitments +$600K. 6.8 wks supply.</t>
  </si>
  <si>
    <t xml:space="preserve">Capitalized Software Dev</t>
  </si>
  <si>
    <t xml:space="preserve">Increased $1,000K: Mist/Marvis dev additions $2,800K less amortization $1,800K. No impairment.</t>
  </si>
  <si>
    <t xml:space="preserve">Intangible Assets (Acquired)</t>
  </si>
  <si>
    <t xml:space="preserve">Decreased ($2,000K): Mist acquisition amortization per PPA schedule.</t>
  </si>
  <si>
    <t xml:space="preserve">Deferred Cost of Revenue</t>
  </si>
  <si>
    <t xml:space="preserve">Increased $400K: Matches deferred revenue on multi-year deals.</t>
  </si>
  <si>
    <t xml:space="preserve">Total Segment Assets</t>
  </si>
  <si>
    <t xml:space="preserve">Segment Liabilities</t>
  </si>
  <si>
    <t xml:space="preserve">Deferred Revenue - Current</t>
  </si>
  <si>
    <t xml:space="preserve">Increased $4,000K: Mist subscription billings outpacing recognition +$2,800K. Maintenance +$1,200K.</t>
  </si>
  <si>
    <t xml:space="preserve">Deferred Revenue - Non-Current</t>
  </si>
  <si>
    <t xml:space="preserve">Increased $2,000K: Multi-year Mist/maintenance. Avg remaining term 2.1 yrs.</t>
  </si>
  <si>
    <t xml:space="preserve">Warranty Reserve</t>
  </si>
  <si>
    <t xml:space="preserve">Increased $300K: Volume-driven at 1.6% of trailing HW revenue.</t>
  </si>
  <si>
    <t xml:space="preserve">Accrued Channel Rebates</t>
  </si>
  <si>
    <t xml:space="preserve">Increased $600K: Q2 bookings +$400K. Elite tier bonus +$200K.</t>
  </si>
  <si>
    <t xml:space="preserve">Customer Deposits</t>
  </si>
  <si>
    <t xml:space="preserve">Increased $700K: 2 large Q3 deployments $3,200K. Offset by prior deposits applied.</t>
  </si>
  <si>
    <t xml:space="preserve">Total Segment Liabilities</t>
  </si>
  <si>
    <t xml:space="preserve">Cloud &amp; Service Provider — Quarterly P&amp;L</t>
  </si>
  <si>
    <t xml:space="preserve">Product Revenue - Core Routing</t>
  </si>
  <si>
    <t xml:space="preserve">Favorable $3,000K QoQ: MX 400G carrier demand +$2,200K. 2 EMEA wins +$1,800K. Q1 deal non-repeat -$1,000K. Covers ~100%.</t>
  </si>
  <si>
    <t xml:space="preserve">Favorable $1,000K YoY: 400G cycle +$2,200K. EMEA +$1,800K. NA timing -$3,000K.</t>
  </si>
  <si>
    <t xml:space="preserve">Product Revenue - 5G Infrastructure</t>
  </si>
  <si>
    <t xml:space="preserve">Favorable $4,000K QoQ: Tier 1 NA deal $4,500K. APAC 2 carriers +$3,200K. EMEA timing -$3,700K. Covers ~100%.</t>
  </si>
  <si>
    <t xml:space="preserve">Favorable $2,000K YoY: Global 5G investment. NA +$4,500K. APAC +$3,200K. Offset -$5,700K.</t>
  </si>
  <si>
    <t xml:space="preserve">Product Revenue - DC Switching</t>
  </si>
  <si>
    <t xml:space="preserve">Favorable $4,000K QoQ: QFX 400G hyperscaler demand +$2,800K. AI cluster networking +$4,000K. Enterprise DC softness -$2,800K. Covers ~100%.</t>
  </si>
  <si>
    <t xml:space="preserve">Favorable $2,000K YoY: Hyperscaler +$4,000K. AI networking +$4,000K. Offset -$6,000K.</t>
  </si>
  <si>
    <t xml:space="preserve">Software Revenue - Apstra/Paragon</t>
  </si>
  <si>
    <t xml:space="preserve">Favorable $2,000K QoQ: Apstra 62% attach on DC deals +$1,200K. Paragon 3 SP upsells +$800K.</t>
  </si>
  <si>
    <t xml:space="preserve">Favorable $1,000K YoY: Apstra and Paragon adoption growing.</t>
  </si>
  <si>
    <t xml:space="preserve">Subscription Revenue - Cloud Mgmt</t>
  </si>
  <si>
    <t xml:space="preserve">Favorable $2,000K QoQ: Contrail CN2 adoption. 28 new accounts +$1,400K. Migration upgrades +$600K.</t>
  </si>
  <si>
    <t xml:space="preserve">Favorable $1,000K YoY: CN2 migration driving revenue.</t>
  </si>
  <si>
    <t xml:space="preserve">Favorable $500K QoQ: 5G deployment services. 2 carrier migrations ongoing.</t>
  </si>
  <si>
    <t xml:space="preserve">COGS - Networking Hardware</t>
  </si>
  <si>
    <t xml:space="preserve">Unfavorable ($4,500K) QoQ: Volume +$3,800K. ASIC density +$400K. Optics savings -$300K. Ramp +$600K. Covers ~100%.</t>
  </si>
  <si>
    <t xml:space="preserve">Unfavorable ($2,400K) YoY: Volume +$3,500K. ASIC +$400K. Optics -$800K. QFX leverage -$700K.</t>
  </si>
  <si>
    <t xml:space="preserve">COGS - Software &amp; Cloud</t>
  </si>
  <si>
    <t xml:space="preserve">Unfavorable ($800K) QoQ: Apstra hosting +$500K. Paragon +$200K. Licenses +$100K.</t>
  </si>
  <si>
    <t xml:space="preserve">Unfavorable ($300K) QoQ: 5G subcontractors. Margin 30%.</t>
  </si>
  <si>
    <t xml:space="preserve">Unfavorable ($500K) QoQ: MX480 E&amp;O $450K. Warranty volume +$200K. Logistics flat -$150K.</t>
  </si>
  <si>
    <t xml:space="preserve">Unfavorable ($1,000K) QoQ: MWC $800K. 3 SP directors +$400K. Hyperscaler team +$200K. Q1 events -$400K.</t>
  </si>
  <si>
    <t xml:space="preserve">Unfavorable ($500K) YoY: Headcount and events.</t>
  </si>
  <si>
    <t xml:space="preserve">Unfavorable ($1,000K) QoQ: ASIC tapeout prep +$400K. Apstra 5.0 +$300K. 8 engineers +$300K.</t>
  </si>
  <si>
    <t xml:space="preserve">Channel &amp; Partner Commissions</t>
  </si>
  <si>
    <t xml:space="preserve">Unfavorable ($500K) QoQ: SP rebates +$300K. Hyperscaler referrals +$320K. Q1 true-up -$120K.</t>
  </si>
  <si>
    <t xml:space="preserve">Unfavorable ($300K) YoY: Volume-driven.</t>
  </si>
  <si>
    <t xml:space="preserve">Cloud &amp; Service Provider — YTD P&amp;L</t>
  </si>
  <si>
    <t xml:space="preserve">Favorable $3,000K YTD: 400G carrier upgrade cycle.</t>
  </si>
  <si>
    <t xml:space="preserve">Favorable $12,000K YTD: 5G deployment wave across all geos.</t>
  </si>
  <si>
    <t xml:space="preserve">Favorable $5,000K YTD: AI data center demand.</t>
  </si>
  <si>
    <t xml:space="preserve">Favorable $3,000K YTD: Software attach improving.</t>
  </si>
  <si>
    <t xml:space="preserve">Favorable $6,000K YTD: Rapid cloud mgmt adoption.</t>
  </si>
  <si>
    <t xml:space="preserve">Favorable $700K YTD: 5G services demand.</t>
  </si>
  <si>
    <t xml:space="preserve">Unfavorable ($6,700K) YTD: Volume and ASIC costs.</t>
  </si>
  <si>
    <t xml:space="preserve">Unfavorable ($1,200K) YTD: Software delivery scaling.</t>
  </si>
  <si>
    <t xml:space="preserve">Unfavorable ($550K) YTD: Subcontractor spend.</t>
  </si>
  <si>
    <t xml:space="preserve">Unfavorable ($1,500K) YTD: SP/hyperscaler coverage investment.</t>
  </si>
  <si>
    <t xml:space="preserve">Unfavorable ($1,400K) YTD: ASIC and software investment.</t>
  </si>
  <si>
    <t xml:space="preserve">Unfavorable ($800K) YTD: Higher bookings.</t>
  </si>
  <si>
    <t xml:space="preserve">Cloud &amp; Service Provider — Balance Sheet</t>
  </si>
  <si>
    <t xml:space="preserve">Increased $5,000K: DSO 52 days (from 48). Carrier terms 45-60 days. Tier 1 $4,800K at 55 days. Normal.</t>
  </si>
  <si>
    <t xml:space="preserve">Increased ($200K): Emerging market carrier flagged. CECL SP factors applied.</t>
  </si>
  <si>
    <t xml:space="preserve">Increased $1,300K: 5G revenue recognized ahead of billing. $3,200K from Tier 1 NA project.</t>
  </si>
  <si>
    <t xml:space="preserve">Increased $3,400K: 400G/800G build-ahead +$2,000K. ASIC inventory +$800K. Lead time +$600K.</t>
  </si>
  <si>
    <t xml:space="preserve">Capitalized ASIC Development</t>
  </si>
  <si>
    <t xml:space="preserve">Decreased ($2,000K): ASIC development winding down as projects reach maturity. Amortization exceeding new additions.</t>
  </si>
  <si>
    <t xml:space="preserve">Acquired Technology (Net)</t>
  </si>
  <si>
    <t xml:space="preserve">Decreased ($2,000K): Apstra + 128T/Paragon amortizing per PPA. Revenue tracking above model.</t>
  </si>
  <si>
    <t xml:space="preserve">Increased $500K: Matching SP contracts.</t>
  </si>
  <si>
    <t xml:space="preserve">Increased $3,000K: SP maintenance renewals +$1,800K. Cloud subscriptions +$1,200K.</t>
  </si>
  <si>
    <t xml:space="preserve">Increased $1,500K: Multi-year SP maintenance. Avg term 2.4 yrs.</t>
  </si>
  <si>
    <t xml:space="preserve">Increased $300K: Volume-driven at 1.8% (carrier SLA terms).</t>
  </si>
  <si>
    <t xml:space="preserve">Increased $1,500K: 2 carrier 5G projects $5,200K. Net of deposits applied.</t>
  </si>
  <si>
    <t xml:space="preserve">Earnout Liability</t>
  </si>
  <si>
    <t xml:space="preserve">Decreased ($800K): 128T/Paragon earnout remeasured. Milestone partially achieved.</t>
  </si>
  <si>
    <t xml:space="preserve">Security &amp; AI — Quarterly P&amp;L</t>
  </si>
  <si>
    <t xml:space="preserve">Product Revenue - SRX Firewalls</t>
  </si>
  <si>
    <t xml:space="preserve">Favorable $1,000K QoQ: SRX4600/5800 refresh. Palo Alto displacement +$2,100K. Federal +$1,800K. Mid-market -$2,900K.</t>
  </si>
  <si>
    <t xml:space="preserve">Favorable $500K YoY: Competitive displacement and refresh.</t>
  </si>
  <si>
    <t xml:space="preserve">Product Revenue - ATP Appliances</t>
  </si>
  <si>
    <t xml:space="preserve">Favorable $500K QoQ: Attach rate 38%. ATP800 ASP +$300K.</t>
  </si>
  <si>
    <t xml:space="preserve">Software Revenue - Security Subs</t>
  </si>
  <si>
    <t xml:space="preserve">Favorable $2,500K QoQ: 72% attach on new SRX +$1,800K. Bundle ARPU +$700K. 285 new logos.</t>
  </si>
  <si>
    <t xml:space="preserve">Favorable $2,000K YoY: Subscription attach and bundle adoption.</t>
  </si>
  <si>
    <t xml:space="preserve">SaaS Revenue - Threat Intel</t>
  </si>
  <si>
    <t xml:space="preserve">Favorable $2,000K QoQ: SecIntel 180 new accounts +$1,400K. ARPU $18.5K (from $16.2K) +$600K.</t>
  </si>
  <si>
    <t xml:space="preserve">Favorable $1,000K YoY: Platform adoption and ARPU growth.</t>
  </si>
  <si>
    <t xml:space="preserve">Managed Security Services</t>
  </si>
  <si>
    <t xml:space="preserve">Favorable $1,000K QoQ: 3 MSSP partners +$600K. 12 new direct customers +$400K.</t>
  </si>
  <si>
    <t xml:space="preserve">Favorable $500K YoY: MSS platform scaling.</t>
  </si>
  <si>
    <t xml:space="preserve">Professional Services - Security</t>
  </si>
  <si>
    <t xml:space="preserve">Favorable $500K QoQ: 2 financial services projects $1,400K combined.</t>
  </si>
  <si>
    <t xml:space="preserve">COGS - Security Hardware</t>
  </si>
  <si>
    <t xml:space="preserve">Unfavorable ($400K) QoQ: Volume-driven. ATP800 BOM offset by SRX leverage. Margin 51%.</t>
  </si>
  <si>
    <t xml:space="preserve">COGS - Software &amp; SaaS</t>
  </si>
  <si>
    <t xml:space="preserve">Unfavorable ($875K) QoQ: Threat intel feeds +$400K. SecIntel cloud +$300K. ML compute $320K. Efficiency -$145K.</t>
  </si>
  <si>
    <t xml:space="preserve">Unfavorable ($550K) YoY: SaaS delivery scaling.</t>
  </si>
  <si>
    <t xml:space="preserve">Unfavorable ($350K) QoQ: Pen-test subcontractors +$200K. Volume +$150K. Margin 30%.</t>
  </si>
  <si>
    <t xml:space="preserve">Cost of MSS Delivery</t>
  </si>
  <si>
    <t xml:space="preserve">Unfavorable ($550K) QoQ: 8 SOC analysts ramped +$350K. Retention bonuses +$120K. Platform licensing +$80K.</t>
  </si>
  <si>
    <t xml:space="preserve">Unfavorable ($275K) YoY: SOC staffing scaling.</t>
  </si>
  <si>
    <t xml:space="preserve">Unfavorable ($700K) QoQ: RSA $650K. 6 specialists +$300K. MSSP campaign $220K. Q1 SKO -$470K.</t>
  </si>
  <si>
    <t xml:space="preserve">R&amp;D - Security Software</t>
  </si>
  <si>
    <t xml:space="preserve">Unfavorable ($500K) QoQ: SRX OS +$200K. IDP +$150K. AppSecure ML +$150K.</t>
  </si>
  <si>
    <t xml:space="preserve">R&amp;D - AI/ML</t>
  </si>
  <si>
    <t xml:space="preserve">Unfavorable ($1,000K) QoQ: 6 ML engineers +$500K. GPU compute +$800K. Data labeling +$250K. Q1 setup offset -$550K. Covers ~100%.</t>
  </si>
  <si>
    <t xml:space="preserve">Unfavorable ($500K) YoY: AI/ML team scaling.</t>
  </si>
  <si>
    <t xml:space="preserve">MSSP Channel Commissions</t>
  </si>
  <si>
    <t xml:space="preserve">Unfavorable ($300K) QoQ: 3 MSSP partners. Rate 15% of first-year MSS.</t>
  </si>
  <si>
    <t xml:space="preserve">Unfavorable ($150K) YoY: Partner activation.</t>
  </si>
  <si>
    <t xml:space="preserve">Security &amp; AI — YTD P&amp;L</t>
  </si>
  <si>
    <t xml:space="preserve">Favorable $1,500K YTD: Enterprise refresh.</t>
  </si>
  <si>
    <t xml:space="preserve">Favorable $700K YTD: Attach rate improvement.</t>
  </si>
  <si>
    <t xml:space="preserve">Favorable $5,500K YTD: Security subscription scaling.</t>
  </si>
  <si>
    <t xml:space="preserve">Favorable $6,000K YTD: SecIntel fastest-growing line.</t>
  </si>
  <si>
    <t xml:space="preserve">Favorable $4,000K YTD: MSS roughly doubled YoY.</t>
  </si>
  <si>
    <t xml:space="preserve">Favorable $500K YTD: Financial services consulting.</t>
  </si>
  <si>
    <t xml:space="preserve">Unfavorable ($775K) YTD: Volume-driven.</t>
  </si>
  <si>
    <t xml:space="preserve">Unfavorable ($1,575K) YTD: Delivery infrastructure.</t>
  </si>
  <si>
    <t xml:space="preserve">Unfavorable ($350K) YTD: Subcontractor spend.</t>
  </si>
  <si>
    <t xml:space="preserve">Unfavorable ($2,150K) YTD: MSS delivery scaling with revenue.</t>
  </si>
  <si>
    <t xml:space="preserve">Unfavorable ($1,100K) YTD: Security go-to-market.</t>
  </si>
  <si>
    <t xml:space="preserve">Unfavorable ($700K) YTD: Security software investment.</t>
  </si>
  <si>
    <t xml:space="preserve">Unfavorable ($4,000K) YTD: AI/ML investment — headcount doubled, compute scaling.</t>
  </si>
  <si>
    <t xml:space="preserve">Unfavorable ($1,200K) YTD: MSSP channel scaling.</t>
  </si>
  <si>
    <t xml:space="preserve">Security &amp; AI — Balance Sheet</t>
  </si>
  <si>
    <t xml:space="preserve">Increased $2,000K: DSO 39 days. Shorter security payment cycles.</t>
  </si>
  <si>
    <t xml:space="preserve">Increased ($100K): Expanded mid-market base.</t>
  </si>
  <si>
    <t xml:space="preserve">Increased $700K: Security subscription/MSS billing timing.</t>
  </si>
  <si>
    <t xml:space="preserve">Inventory - Security (Net)</t>
  </si>
  <si>
    <t xml:space="preserve">Increased $400K: SRX/ATP inventory. 5.2 wks supply.</t>
  </si>
  <si>
    <t xml:space="preserve">Capitalized AI/ML Dev</t>
  </si>
  <si>
    <t xml:space="preserve">Increased $1,500K: AI models — $2,000K capitalized less $500K amortization.</t>
  </si>
  <si>
    <t xml:space="preserve">Acquired Security Tech (Net)</t>
  </si>
  <si>
    <t xml:space="preserve">Decreased ($1,000K): PPA amortization. Roadmap aligned.</t>
  </si>
  <si>
    <t xml:space="preserve">Threat Intel Database (Net)</t>
  </si>
  <si>
    <t xml:space="preserve">Decreased ($500K): PPA amortization schedule.</t>
  </si>
  <si>
    <t xml:space="preserve">Decreased ($2,500K): Security subscription renewals declining as customers shift to monthly billing. Expected to continue trending down.</t>
  </si>
  <si>
    <t xml:space="preserve">Increased $1,500K: Multi-year SecIntel 3-year deals. Avg term 1.9 yrs.</t>
  </si>
  <si>
    <t xml:space="preserve">Immaterial ($50K). 2.0% rate.</t>
  </si>
  <si>
    <t xml:space="preserve">Contract Liabilities</t>
  </si>
  <si>
    <t xml:space="preserve">Increased $500K: MSS advance billings. Annual prepayments.</t>
  </si>
  <si>
    <t xml:space="preserve">Decreased ($500K): Remeasured — milestone lower than projected.</t>
  </si>
  <si>
    <t xml:space="preserve">Legal — Quarterly P&amp;L</t>
  </si>
  <si>
    <t xml:space="preserve">Type: Back Office | Q2 2025 | Material: &gt;5% or &gt;$500K | ($ in thousands)</t>
  </si>
  <si>
    <t xml:space="preserve">Operating Expenses</t>
  </si>
  <si>
    <t xml:space="preserve">Outside Counsel Fees</t>
  </si>
  <si>
    <t xml:space="preserve">Favorable $300K QoQ: Centripetal patent resolved Q1 -$400K. SEC HPE merger +$100K.</t>
  </si>
  <si>
    <t xml:space="preserve">Litigation Settlement Expense</t>
  </si>
  <si>
    <t xml:space="preserve">Unfavorable ($700K) QoQ: Centripetal settlement $1,500K (accrued $2,000K Q1 — $500K favorable). Q1 had $800K smaller matter.</t>
  </si>
  <si>
    <t xml:space="preserve">Favorable $500K YoY: Q2 2024 $2,000K vs $1,500K this quarter.</t>
  </si>
  <si>
    <t xml:space="preserve">Patent Filing &amp; Maintenance</t>
  </si>
  <si>
    <t xml:space="preserve">Compliance &amp; Regulatory</t>
  </si>
  <si>
    <t xml:space="preserve">E-Discovery &amp; Document Review</t>
  </si>
  <si>
    <t xml:space="preserve">Legal Staff Compensation</t>
  </si>
  <si>
    <t xml:space="preserve">Insurance - D&amp;O / E&amp;O</t>
  </si>
  <si>
    <t xml:space="preserve">Other Legal Expenses</t>
  </si>
  <si>
    <t xml:space="preserve">Total Operating Expenses</t>
  </si>
  <si>
    <t xml:space="preserve">Legal — YTD P&amp;L</t>
  </si>
  <si>
    <t xml:space="preserve">Type: Back Office | H1 2025 vs H1 2024 | Material: &gt;5% or &gt;$500K | ($ in thousands)</t>
  </si>
  <si>
    <t xml:space="preserve">Favorable $900K YTD: Lower settlement activity vs prior year.</t>
  </si>
  <si>
    <t xml:space="preserve">Legal — Balance Sheet</t>
  </si>
  <si>
    <t xml:space="preserve">Type: Back Office | Jun 30 2025 vs Dec 31 2024 | Material: &gt;5% or &gt;$500K | ($ in thousands)</t>
  </si>
  <si>
    <t xml:space="preserve">Assets</t>
  </si>
  <si>
    <t xml:space="preserve">Prepaid Legal Retainers</t>
  </si>
  <si>
    <t xml:space="preserve">Decreased ($150K): Retainer draw-down with 2 firms.</t>
  </si>
  <si>
    <t xml:space="preserve">IP Assets (Net)</t>
  </si>
  <si>
    <t xml:space="preserve">Decreased ($500K): Acquired patent amortization.</t>
  </si>
  <si>
    <t xml:space="preserve">Accrued Settlement Receivable</t>
  </si>
  <si>
    <t xml:space="preserve">Decreased ($250K): Insurance recovery — $250K collected Q2.</t>
  </si>
  <si>
    <t xml:space="preserve">Total Assets</t>
  </si>
  <si>
    <t xml:space="preserve">Liabilities</t>
  </si>
  <si>
    <t xml:space="preserve">Accrued Litigation Liability</t>
  </si>
  <si>
    <t xml:space="preserve">Increased $700K: Updated loss estimates on 2 active patent cases per Q2 outside counsel.</t>
  </si>
  <si>
    <t xml:space="preserve">Contingent Liability</t>
  </si>
  <si>
    <t xml:space="preserve">Increased $400K: 2 patent claims. Possible range $2M-$5M. Footnote disclosed.</t>
  </si>
  <si>
    <t xml:space="preserve">Accrued Outside Counsel Fees</t>
  </si>
  <si>
    <t xml:space="preserve">Increased $200K: Q2 invoices received not processed $650K. Unbilled estimate.</t>
  </si>
  <si>
    <t xml:space="preserve">Total Liabilities</t>
  </si>
  <si>
    <t xml:space="preserve">HR — Quarterly P&amp;L</t>
  </si>
  <si>
    <t xml:space="preserve">HR Staff Compensation</t>
  </si>
  <si>
    <t xml:space="preserve">Employee Benefits Admin</t>
  </si>
  <si>
    <t xml:space="preserve">Recruitment &amp; Talent Acquisition</t>
  </si>
  <si>
    <t xml:space="preserve">Favorable $300K QoQ: 42 hires vs 58 Q1. More internal sourcing. Retained search $180K.</t>
  </si>
  <si>
    <t xml:space="preserve">Unfavorable ($100K) YoY: Retained search higher.</t>
  </si>
  <si>
    <t xml:space="preserve">Training &amp; Development</t>
  </si>
  <si>
    <t xml:space="preserve">Severance &amp; Restructuring</t>
  </si>
  <si>
    <t xml:space="preserve">Unfavorable ($600K) QoQ: 18 positions eliminated. Avg severance 12 weeks.</t>
  </si>
  <si>
    <t xml:space="preserve">Favorable $400K YoY: Q2 2024 $1,200K vs $800K.</t>
  </si>
  <si>
    <t xml:space="preserve">Executive Comp &amp; Equity Admin</t>
  </si>
  <si>
    <t xml:space="preserve">Other HR Expenses</t>
  </si>
  <si>
    <t xml:space="preserve">HR — YTD P&amp;L</t>
  </si>
  <si>
    <t xml:space="preserve">Favorable $200K YTD: Lower agency reliance.</t>
  </si>
  <si>
    <t xml:space="preserve">Favorable $600K YTD: Lower restructuring vs prior year.</t>
  </si>
  <si>
    <t xml:space="preserve">HR — Balance Sheet</t>
  </si>
  <si>
    <t xml:space="preserve">Prepaid Employee Benefits</t>
  </si>
  <si>
    <t xml:space="preserve">Decreased ($200K): Prepaid medical amortizing from Jan renewal.</t>
  </si>
  <si>
    <t xml:space="preserve">Deferred Comp Plan Assets</t>
  </si>
  <si>
    <t xml:space="preserve">Increased $300K: Rabbi trust market appreciation.</t>
  </si>
  <si>
    <t xml:space="preserve">Accrued Compensation</t>
  </si>
  <si>
    <t xml:space="preserve">Increased $300K: Payroll accrual for 5 workdays at quarter-end. Higher from merit.</t>
  </si>
  <si>
    <t xml:space="preserve">Accrued Bonus Liability</t>
  </si>
  <si>
    <t xml:space="preserve">Increased $3,700K: H1 accrual at 105% of target. Individual multipliers not yet applied.</t>
  </si>
  <si>
    <t xml:space="preserve">PTO / Vacation Liability</t>
  </si>
  <si>
    <t xml:space="preserve">Increased $400K: Seasonal H1 accrual. Expected Q3 drawdown.</t>
  </si>
  <si>
    <t xml:space="preserve">Severance Accrual</t>
  </si>
  <si>
    <t xml:space="preserve">Increased $1,300K: Q2 restructuring 18 positions +$1,300K new. $800K paid Q2. Expected payout by Q4.</t>
  </si>
  <si>
    <t xml:space="preserve">Post-Retirement Benefit Obligation</t>
  </si>
  <si>
    <t xml:space="preserve">Deferred Comp Liability</t>
  </si>
  <si>
    <t xml:space="preserve">Increased $300K: Mirrors plan assets. Marked to market.</t>
  </si>
  <si>
    <t xml:space="preserve">Corp Finance — Quarterly P&amp;L</t>
  </si>
  <si>
    <t xml:space="preserve">Revenue / Other Income</t>
  </si>
  <si>
    <t xml:space="preserve">Interest Income</t>
  </si>
  <si>
    <t xml:space="preserve">Favorable $300K QoQ: Higher cash balances +$200K. Yields 5.15% +$100K.</t>
  </si>
  <si>
    <t xml:space="preserve">Favorable $100K YoY: Yields and cash position.</t>
  </si>
  <si>
    <t xml:space="preserve">Gain/(Loss) on Investments</t>
  </si>
  <si>
    <t xml:space="preserve">Favorable $600K QoQ: AFS MTM from spread tightening +$400K. Q1 loss reversal +$200K.</t>
  </si>
  <si>
    <t xml:space="preserve">Unfavorable ($200K) YoY: Q2 2024 had larger gain.</t>
  </si>
  <si>
    <t xml:space="preserve">FX Gain/(Loss)</t>
  </si>
  <si>
    <t xml:space="preserve">Unfavorable ($350K) QoQ: EUR/USD hedge loss -$200K. EMEA revaluation -$150K.</t>
  </si>
  <si>
    <t xml:space="preserve">Favorable $150K YoY: Less headwind than Q2 2024.</t>
  </si>
  <si>
    <t xml:space="preserve">Total Revenue / Other Income</t>
  </si>
  <si>
    <t xml:space="preserve">Finance Staff Compensation</t>
  </si>
  <si>
    <t xml:space="preserve">External Audit Fees</t>
  </si>
  <si>
    <t xml:space="preserve">SOX Compliance</t>
  </si>
  <si>
    <t xml:space="preserve">Tax Preparation &amp; Advisory</t>
  </si>
  <si>
    <t xml:space="preserve">Treasury &amp; Banking</t>
  </si>
  <si>
    <t xml:space="preserve">Investor Relations</t>
  </si>
  <si>
    <t xml:space="preserve">Corporate Insurance</t>
  </si>
  <si>
    <t xml:space="preserve">Other Corp Finance</t>
  </si>
  <si>
    <t xml:space="preserve">Corp Finance — YTD P&amp;L</t>
  </si>
  <si>
    <t xml:space="preserve">Favorable $400K YTD: Sustained higher rates.</t>
  </si>
  <si>
    <t xml:space="preserve">Favorable $100K YTD: Net positive MTM.</t>
  </si>
  <si>
    <t xml:space="preserve">Favorable $250K YTD: Net positive from hedge program.</t>
  </si>
  <si>
    <t xml:space="preserve">Corp Finance — Balance Sheet</t>
  </si>
  <si>
    <t xml:space="preserve">Cash &amp; Cash Equivalents</t>
  </si>
  <si>
    <t xml:space="preserve">Decreased ($7,000K): OCF +$8,200K less repurchase ($3,000K), debt ($5,000K), capex ($2,200K), dividends ($3,000K), other ($2,000K). Covers ~100%.</t>
  </si>
  <si>
    <t xml:space="preserve">Short-Term Investments</t>
  </si>
  <si>
    <t xml:space="preserve">Increased $7,000K: Reallocation to T-bills/IG corporates. Duration &lt; 6 months.</t>
  </si>
  <si>
    <t xml:space="preserve">Intercompany Receivables</t>
  </si>
  <si>
    <t xml:space="preserve">Increased $1,300K: Mgmt fee receivables. IC recon complete — nets to zero.</t>
  </si>
  <si>
    <t xml:space="preserve">Deferred Tax Asset</t>
  </si>
  <si>
    <t xml:space="preserve">Increased $500K: Stock comp deductions +$300K. R&amp;D credit +$200K. No VA needed.</t>
  </si>
  <si>
    <t xml:space="preserve">Goodwill</t>
  </si>
  <si>
    <t xml:space="preserve">PP&amp;E (Net)</t>
  </si>
  <si>
    <t xml:space="preserve">Decreased ($1,500K): Depreciation $1,800K exceeds capex $300K.</t>
  </si>
  <si>
    <t xml:space="preserve">ROU Assets</t>
  </si>
  <si>
    <t xml:space="preserve">Decreased ($1,200K): ASC 842 amortization. 2 renewals minimal impact.</t>
  </si>
  <si>
    <t xml:space="preserve">Other LT Assets</t>
  </si>
  <si>
    <t xml:space="preserve">Increased $300K: Misc deposits.</t>
  </si>
  <si>
    <t xml:space="preserve">Accounts Payable</t>
  </si>
  <si>
    <t xml:space="preserve">Increased $3,000K: Inventory build driving AP. DPO 42 days (from 38).</t>
  </si>
  <si>
    <t xml:space="preserve">Income Tax Payable</t>
  </si>
  <si>
    <t xml:space="preserve">Increased $700K: Q2 provision accrual. ETR 21.5%.</t>
  </si>
  <si>
    <t xml:space="preserve">Intercompany Payables</t>
  </si>
  <si>
    <t xml:space="preserve">Increased $1,300K: Mirrors IC receivables. Eliminates.</t>
  </si>
  <si>
    <t xml:space="preserve">Long-Term Debt</t>
  </si>
  <si>
    <t xml:space="preserve">Decreased ($5,000K): Principal payment per schedule. No new borrowings.</t>
  </si>
  <si>
    <t xml:space="preserve">Deferred Revenue</t>
  </si>
  <si>
    <t xml:space="preserve">Increased $2,500K: Multi-year agreements and prepaid maintenance.</t>
  </si>
  <si>
    <t xml:space="preserve">Deferred Tax Liability</t>
  </si>
  <si>
    <t xml:space="preserve">Increased $400K: Accelerated depreciation.</t>
  </si>
  <si>
    <t xml:space="preserve">Operating Lease Liability</t>
  </si>
  <si>
    <t xml:space="preserve">Decreased ($1,300K): ASC 842 amortization. Matches ROU.</t>
  </si>
  <si>
    <t xml:space="preserve">Common Stock &amp; APIC</t>
  </si>
  <si>
    <t xml:space="preserve">Increased $2,000K: Stock comp $2,000K. Options $500K. ESPP $300K.</t>
  </si>
  <si>
    <t xml:space="preserve">Retained Earnings</t>
  </si>
  <si>
    <t xml:space="preserve">Increased $4,000K: Net income $7,000K less dividends $3,000K.</t>
  </si>
  <si>
    <t xml:space="preserve">Treasury Stock</t>
  </si>
  <si>
    <t xml:space="preserve">Decreased ($3,000K): Q2 repurchase 85K shares at avg $35.29.</t>
  </si>
  <si>
    <t xml:space="preserve">AOCI</t>
  </si>
  <si>
    <t xml:space="preserve">Decreased ($700K): FX translation ($400K). Pension ($500K). AFS gain +$200K.</t>
  </si>
  <si>
    <t xml:space="preserve">IT &amp; Operations — Quarterly P&amp;L</t>
  </si>
  <si>
    <t xml:space="preserve">IT Staff Compensation</t>
  </si>
  <si>
    <t xml:space="preserve">Cloud Infrastructure</t>
  </si>
  <si>
    <t xml:space="preserve">Unfavorable ($300K) QoQ: AWS Mist scaling +$200K. GCP migration done -$100K. RI utilization 82%.</t>
  </si>
  <si>
    <t xml:space="preserve">Unfavorable ($200K) YoY: Usage-driven.</t>
  </si>
  <si>
    <t xml:space="preserve">Software Licenses &amp; SaaS</t>
  </si>
  <si>
    <t xml:space="preserve">Cybersecurity</t>
  </si>
  <si>
    <t xml:space="preserve">Data Center &amp; Facilities</t>
  </si>
  <si>
    <t xml:space="preserve">IT Consulting &amp; Contractors</t>
  </si>
  <si>
    <t xml:space="preserve">Unfavorable ($300K) QoQ: HPE integration Accenture +$200K. ERP assessment +$100K. Covers ~80%.</t>
  </si>
  <si>
    <t xml:space="preserve">Unfavorable ($100K) YoY: HPE consulting.</t>
  </si>
  <si>
    <t xml:space="preserve">Depreciation - IT Assets</t>
  </si>
  <si>
    <t xml:space="preserve">IT &amp; Operations — YTD P&amp;L</t>
  </si>
  <si>
    <t xml:space="preserve">Unfavorable ($500K) YTD: Cloud scaling.</t>
  </si>
  <si>
    <t xml:space="preserve">Unfavorable ($300K) YTD: M&amp;A integration costs.</t>
  </si>
  <si>
    <t xml:space="preserve">IT &amp; Operations — Balance Sheet</t>
  </si>
  <si>
    <t xml:space="preserve">IT Equipment (Net)</t>
  </si>
  <si>
    <t xml:space="preserve">Decreased ($700K): Depreciation exceeds additions. Refresh deferred to Q3.</t>
  </si>
  <si>
    <t xml:space="preserve">Capitalized Software (Net)</t>
  </si>
  <si>
    <t xml:space="preserve">Increased $400K: ERP/cloud migration additions less $400K/qtr amortization.</t>
  </si>
  <si>
    <t xml:space="preserve">Prepaid Software Licenses</t>
  </si>
  <si>
    <t xml:space="preserve">Increased $600K: Annual renewals amortizing ratably.</t>
  </si>
  <si>
    <t xml:space="preserve">Accrued IT Vendor Payables</t>
  </si>
  <si>
    <t xml:space="preserve">Increased $400K: Q2 cloud bills not processed. License true-ups.</t>
  </si>
  <si>
    <t xml:space="preserve">Lease Obligations</t>
  </si>
  <si>
    <t xml:space="preserve">Decreased ($600K): ASC 842 amortization.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</si>
</sst>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;\(0.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336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999999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2F5496"/>
      </patternFill>
    </fill>
    <fill>
      <patternFill patternType="solid">
        <fgColor rgb="FF44546A"/>
        <bgColor rgb="FF2F5496"/>
      </patternFill>
    </fill>
    <fill>
      <patternFill patternType="solid">
        <fgColor rgb="FFDCE6F1"/>
        <bgColor rgb="FFD6DCE4"/>
      </patternFill>
    </fill>
    <fill>
      <patternFill patternType="solid">
        <fgColor rgb="FFE2EFDA"/>
        <bgColor rgb="FFDCE6F1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548235"/>
        <bgColor rgb="FF3399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6E7"/>
      <rgbColor rgb="FF808080"/>
      <rgbColor rgb="FF9999FF"/>
      <rgbColor rgb="FF7030A0"/>
      <rgbColor rgb="FFF2F2F2"/>
      <rgbColor rgb="FFE2EFDA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FFF99"/>
      <rgbColor rgb="FF99CCFF"/>
      <rgbColor rgb="FFFF99CC"/>
      <rgbColor rgb="FFCC99FF"/>
      <rgbColor rgb="FFF4B084"/>
      <rgbColor rgb="FF4472C4"/>
      <rgbColor rgb="FF33CCCC"/>
      <rgbColor rgb="FF99CC00"/>
      <rgbColor rgb="FFFFCC00"/>
      <rgbColor rgb="FFFF9900"/>
      <rgbColor rgb="FFFF6600"/>
      <rgbColor rgb="FF44546A"/>
      <rgbColor rgb="FF999999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35.05" hidden="false" customHeight="false" outlineLevel="0" collapsed="false">
      <c r="A6" s="5" t="s">
        <v>13</v>
      </c>
      <c r="B6" s="6" t="n">
        <v>52000000</v>
      </c>
      <c r="C6" s="6" t="n">
        <v>48000000</v>
      </c>
      <c r="D6" s="6" t="n">
        <v>50000000</v>
      </c>
      <c r="E6" s="7" t="n">
        <f aca="false">B6-C6</f>
        <v>4000000</v>
      </c>
      <c r="F6" s="8" t="n">
        <f aca="false">IF(C6=0,"-",E6/ABS(C6))</f>
        <v>0.0833333333333333</v>
      </c>
      <c r="G6" s="9" t="s">
        <v>14</v>
      </c>
      <c r="H6" s="7" t="n">
        <f aca="false">B6-D6</f>
        <v>2000000</v>
      </c>
      <c r="I6" s="8" t="n">
        <f aca="false">IF(D6=0,"-",H6/ABS(D6))</f>
        <v>0.04</v>
      </c>
      <c r="J6" s="9" t="s">
        <v>15</v>
      </c>
    </row>
    <row r="7" customFormat="false" ht="23.85" hidden="false" customHeight="false" outlineLevel="0" collapsed="false">
      <c r="A7" s="5" t="s">
        <v>16</v>
      </c>
      <c r="B7" s="6" t="n">
        <v>18000000</v>
      </c>
      <c r="C7" s="6" t="n">
        <v>15000000</v>
      </c>
      <c r="D7" s="6" t="n">
        <v>16000000</v>
      </c>
      <c r="E7" s="7" t="n">
        <f aca="false">B7-C7</f>
        <v>3000000</v>
      </c>
      <c r="F7" s="8" t="n">
        <f aca="false">IF(C7=0,"-",E7/ABS(C7))</f>
        <v>0.2</v>
      </c>
      <c r="G7" s="9" t="s">
        <v>17</v>
      </c>
      <c r="H7" s="7" t="n">
        <f aca="false">B7-D7</f>
        <v>2000000</v>
      </c>
      <c r="I7" s="8" t="n">
        <f aca="false">IF(D7=0,"-",H7/ABS(D7))</f>
        <v>0.125</v>
      </c>
      <c r="J7" s="9" t="s">
        <v>18</v>
      </c>
    </row>
    <row r="8" customFormat="false" ht="23.85" hidden="false" customHeight="false" outlineLevel="0" collapsed="false">
      <c r="A8" s="5" t="s">
        <v>19</v>
      </c>
      <c r="B8" s="6" t="n">
        <v>14000000</v>
      </c>
      <c r="C8" s="6" t="n">
        <v>13000000</v>
      </c>
      <c r="D8" s="6" t="n">
        <v>13500000</v>
      </c>
      <c r="E8" s="7" t="n">
        <f aca="false">B8-C8</f>
        <v>1000000</v>
      </c>
      <c r="F8" s="8" t="n">
        <f aca="false">IF(C8=0,"-",E8/ABS(C8))</f>
        <v>0.0769230769230769</v>
      </c>
      <c r="G8" s="9" t="s">
        <v>20</v>
      </c>
      <c r="H8" s="7" t="n">
        <f aca="false">B8-D8</f>
        <v>500000</v>
      </c>
      <c r="I8" s="8" t="n">
        <f aca="false">IF(D8=0,"-",H8/ABS(D8))</f>
        <v>0.037037037037037</v>
      </c>
      <c r="J8" s="9" t="s">
        <v>21</v>
      </c>
    </row>
    <row r="9" customFormat="false" ht="23.85" hidden="false" customHeight="false" outlineLevel="0" collapsed="false">
      <c r="A9" s="5" t="s">
        <v>22</v>
      </c>
      <c r="B9" s="6" t="n">
        <v>22000000</v>
      </c>
      <c r="C9" s="6" t="n">
        <v>20000000</v>
      </c>
      <c r="D9" s="6" t="n">
        <v>21000000</v>
      </c>
      <c r="E9" s="7" t="n">
        <f aca="false">B9-C9</f>
        <v>2000000</v>
      </c>
      <c r="F9" s="8" t="n">
        <f aca="false">IF(C9=0,"-",E9/ABS(C9))</f>
        <v>0.1</v>
      </c>
      <c r="G9" s="9" t="s">
        <v>23</v>
      </c>
      <c r="H9" s="7" t="n">
        <f aca="false">B9-D9</f>
        <v>1000000</v>
      </c>
      <c r="I9" s="8" t="n">
        <f aca="false">IF(D9=0,"-",H9/ABS(D9))</f>
        <v>0.0476190476190476</v>
      </c>
      <c r="J9" s="9" t="s">
        <v>24</v>
      </c>
    </row>
    <row r="10" customFormat="false" ht="23.85" hidden="false" customHeight="false" outlineLevel="0" collapsed="false">
      <c r="A10" s="5" t="s">
        <v>25</v>
      </c>
      <c r="B10" s="6" t="n">
        <v>28000000</v>
      </c>
      <c r="C10" s="6" t="n">
        <v>24000000</v>
      </c>
      <c r="D10" s="6" t="n">
        <v>26000000</v>
      </c>
      <c r="E10" s="7" t="n">
        <f aca="false">B10-C10</f>
        <v>4000000</v>
      </c>
      <c r="F10" s="8" t="n">
        <f aca="false">IF(C10=0,"-",E10/ABS(C10))</f>
        <v>0.166666666666667</v>
      </c>
      <c r="G10" s="9" t="s">
        <v>26</v>
      </c>
      <c r="H10" s="7" t="n">
        <f aca="false">B10-D10</f>
        <v>2000000</v>
      </c>
      <c r="I10" s="8" t="n">
        <f aca="false">IF(D10=0,"-",H10/ABS(D10))</f>
        <v>0.0769230769230769</v>
      </c>
      <c r="J10" s="9" t="s">
        <v>27</v>
      </c>
    </row>
    <row r="11" customFormat="false" ht="23.85" hidden="false" customHeight="false" outlineLevel="0" collapsed="false">
      <c r="A11" s="5" t="s">
        <v>28</v>
      </c>
      <c r="B11" s="6" t="n">
        <v>35000000</v>
      </c>
      <c r="C11" s="6" t="n">
        <v>34000000</v>
      </c>
      <c r="D11" s="6" t="n">
        <v>34500000</v>
      </c>
      <c r="E11" s="7" t="n">
        <f aca="false">B11-C11</f>
        <v>1000000</v>
      </c>
      <c r="F11" s="8" t="n">
        <f aca="false">IF(C11=0,"-",E11/ABS(C11))</f>
        <v>0.0294117647058824</v>
      </c>
      <c r="G11" s="9" t="s">
        <v>29</v>
      </c>
      <c r="H11" s="7" t="n">
        <f aca="false">B11-D11</f>
        <v>500000</v>
      </c>
      <c r="I11" s="8" t="n">
        <f aca="false">IF(D11=0,"-",H11/ABS(D11))</f>
        <v>0.0144927536231884</v>
      </c>
      <c r="J11" s="9" t="s">
        <v>30</v>
      </c>
    </row>
    <row r="12" customFormat="false" ht="23.85" hidden="false" customHeight="false" outlineLevel="0" collapsed="false">
      <c r="A12" s="5" t="s">
        <v>31</v>
      </c>
      <c r="B12" s="6" t="n">
        <v>12000000</v>
      </c>
      <c r="C12" s="6" t="n">
        <v>11000000</v>
      </c>
      <c r="D12" s="6" t="n">
        <v>11500000</v>
      </c>
      <c r="E12" s="7" t="n">
        <f aca="false">B12-C12</f>
        <v>1000000</v>
      </c>
      <c r="F12" s="8" t="n">
        <f aca="false">IF(C12=0,"-",E12/ABS(C12))</f>
        <v>0.0909090909090909</v>
      </c>
      <c r="G12" s="9" t="s">
        <v>32</v>
      </c>
      <c r="H12" s="7" t="n">
        <f aca="false">B12-D12</f>
        <v>500000</v>
      </c>
      <c r="I12" s="8" t="n">
        <f aca="false">IF(D12=0,"-",H12/ABS(D12))</f>
        <v>0.0434782608695652</v>
      </c>
      <c r="J12" s="9" t="s">
        <v>33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181000000</v>
      </c>
      <c r="C13" s="11" t="n">
        <f aca="false">C6+C7+C8+C9+C10+C11+C12</f>
        <v>165000000</v>
      </c>
      <c r="D13" s="11" t="n">
        <f aca="false">D6+D7+D8+D9+D10+D11+D12</f>
        <v>172500000</v>
      </c>
      <c r="E13" s="11" t="n">
        <f aca="false">E6+E7+E8+E9+E10+E11+E12</f>
        <v>16000000</v>
      </c>
      <c r="F13" s="12"/>
      <c r="G13" s="12"/>
      <c r="H13" s="11" t="n">
        <f aca="false">H6+H7+H8+H9+H10+H11+H12</f>
        <v>8500000</v>
      </c>
      <c r="I13" s="12"/>
      <c r="J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23.85" hidden="false" customHeight="false" outlineLevel="0" collapsed="false">
      <c r="A16" s="5" t="s">
        <v>36</v>
      </c>
      <c r="B16" s="6" t="n">
        <v>36200000</v>
      </c>
      <c r="C16" s="6" t="n">
        <v>33500000</v>
      </c>
      <c r="D16" s="6" t="n">
        <v>34300000</v>
      </c>
      <c r="E16" s="7" t="n">
        <f aca="false">-(B16-C16)</f>
        <v>-2700000</v>
      </c>
      <c r="F16" s="8" t="n">
        <f aca="false">IF(C16=0,"-",E16/ABS(C16))</f>
        <v>-0.0805970149253731</v>
      </c>
      <c r="G16" s="9" t="s">
        <v>37</v>
      </c>
      <c r="H16" s="7" t="n">
        <f aca="false">-(B16-D16)</f>
        <v>-1900000</v>
      </c>
      <c r="I16" s="8" t="n">
        <f aca="false">IF(D16=0,"-",H16/ABS(D16))</f>
        <v>-0.0553935860058309</v>
      </c>
      <c r="J16" s="9" t="s">
        <v>38</v>
      </c>
    </row>
    <row r="17" customFormat="false" ht="23.85" hidden="false" customHeight="false" outlineLevel="0" collapsed="false">
      <c r="A17" s="5" t="s">
        <v>39</v>
      </c>
      <c r="B17" s="6" t="n">
        <v>8900000</v>
      </c>
      <c r="C17" s="6" t="n">
        <v>7800000</v>
      </c>
      <c r="D17" s="6" t="n">
        <v>8300000</v>
      </c>
      <c r="E17" s="7" t="n">
        <f aca="false">-(B17-C17)</f>
        <v>-1100000</v>
      </c>
      <c r="F17" s="8" t="n">
        <f aca="false">IF(C17=0,"-",E17/ABS(C17))</f>
        <v>-0.141025641025641</v>
      </c>
      <c r="G17" s="9" t="s">
        <v>40</v>
      </c>
      <c r="H17" s="7" t="n">
        <f aca="false">-(B17-D17)</f>
        <v>-600000</v>
      </c>
      <c r="I17" s="8" t="n">
        <f aca="false">IF(D17=0,"-",H17/ABS(D17))</f>
        <v>-0.072289156626506</v>
      </c>
      <c r="J17" s="9" t="s">
        <v>41</v>
      </c>
    </row>
    <row r="18" customFormat="false" ht="15" hidden="false" customHeight="false" outlineLevel="0" collapsed="false">
      <c r="A18" s="5" t="s">
        <v>42</v>
      </c>
      <c r="B18" s="6" t="n">
        <v>8750000</v>
      </c>
      <c r="C18" s="6" t="n">
        <v>8500000</v>
      </c>
      <c r="D18" s="6" t="n">
        <v>8600000</v>
      </c>
      <c r="E18" s="7" t="n">
        <f aca="false">-(B18-C18)</f>
        <v>-250000</v>
      </c>
      <c r="F18" s="8" t="n">
        <f aca="false">IF(C18=0,"-",E18/ABS(C18))</f>
        <v>-0.0294117647058824</v>
      </c>
      <c r="G18" s="13" t="s">
        <v>43</v>
      </c>
      <c r="H18" s="7" t="n">
        <f aca="false">-(B18-D18)</f>
        <v>-150000</v>
      </c>
      <c r="I18" s="8" t="n">
        <f aca="false">IF(D18=0,"-",H18/ABS(D18))</f>
        <v>-0.0174418604651163</v>
      </c>
      <c r="J18" s="13" t="s">
        <v>43</v>
      </c>
    </row>
    <row r="19" customFormat="false" ht="23.85" hidden="false" customHeight="false" outlineLevel="0" collapsed="false">
      <c r="A19" s="5" t="s">
        <v>44</v>
      </c>
      <c r="B19" s="6" t="n">
        <v>8400000</v>
      </c>
      <c r="C19" s="6" t="n">
        <v>7800000</v>
      </c>
      <c r="D19" s="6" t="n">
        <v>8050000</v>
      </c>
      <c r="E19" s="7" t="n">
        <f aca="false">-(B19-C19)</f>
        <v>-600000</v>
      </c>
      <c r="F19" s="8" t="n">
        <f aca="false">IF(C19=0,"-",E19/ABS(C19))</f>
        <v>-0.0769230769230769</v>
      </c>
      <c r="G19" s="9" t="s">
        <v>45</v>
      </c>
      <c r="H19" s="7" t="n">
        <f aca="false">-(B19-D19)</f>
        <v>-350000</v>
      </c>
      <c r="I19" s="8" t="n">
        <f aca="false">IF(D19=0,"-",H19/ABS(D19))</f>
        <v>-0.0434782608695652</v>
      </c>
      <c r="J19" s="13" t="s">
        <v>43</v>
      </c>
    </row>
    <row r="20" customFormat="false" ht="23.85" hidden="false" customHeight="false" outlineLevel="0" collapsed="false">
      <c r="A20" s="5" t="s">
        <v>46</v>
      </c>
      <c r="B20" s="6" t="n">
        <v>2450000</v>
      </c>
      <c r="C20" s="6" t="n">
        <v>2100000</v>
      </c>
      <c r="D20" s="6" t="n">
        <v>2550000</v>
      </c>
      <c r="E20" s="7" t="n">
        <f aca="false">-(B20-C20)</f>
        <v>-350000</v>
      </c>
      <c r="F20" s="8" t="n">
        <f aca="false">IF(C20=0,"-",E20/ABS(C20))</f>
        <v>-0.166666666666667</v>
      </c>
      <c r="G20" s="9" t="s">
        <v>47</v>
      </c>
      <c r="H20" s="7" t="n">
        <f aca="false">-(B20-D20)</f>
        <v>100000</v>
      </c>
      <c r="I20" s="8" t="n">
        <f aca="false">IF(D20=0,"-",H20/ABS(D20))</f>
        <v>0.0392156862745098</v>
      </c>
      <c r="J20" s="13" t="s">
        <v>43</v>
      </c>
    </row>
    <row r="21" customFormat="false" ht="15" hidden="false" customHeight="false" outlineLevel="0" collapsed="false">
      <c r="A21" s="10" t="s">
        <v>48</v>
      </c>
      <c r="B21" s="11" t="n">
        <f aca="false">B16+B17+B18+B19+B20</f>
        <v>64700000</v>
      </c>
      <c r="C21" s="11" t="n">
        <f aca="false">C16+C17+C18+C19+C20</f>
        <v>59700000</v>
      </c>
      <c r="D21" s="11" t="n">
        <f aca="false">D16+D17+D18+D19+D20</f>
        <v>61800000</v>
      </c>
      <c r="E21" s="11" t="n">
        <f aca="false">E16+E17+E18+E19+E20</f>
        <v>-5000000</v>
      </c>
      <c r="F21" s="12"/>
      <c r="G21" s="12"/>
      <c r="H21" s="11" t="n">
        <f aca="false">H16+H17+H18+H19+H20</f>
        <v>-2900000</v>
      </c>
      <c r="I21" s="12"/>
      <c r="J21" s="12"/>
    </row>
    <row r="23" customFormat="false" ht="15" hidden="false" customHeight="false" outlineLevel="0" collapsed="false">
      <c r="A23" s="4" t="s">
        <v>49</v>
      </c>
      <c r="B23" s="4"/>
      <c r="C23" s="4"/>
      <c r="D23" s="4"/>
      <c r="E23" s="4"/>
      <c r="F23" s="4"/>
      <c r="G23" s="4"/>
      <c r="H23" s="4"/>
      <c r="I23" s="4"/>
      <c r="J23" s="4"/>
    </row>
    <row r="24" customFormat="false" ht="23.85" hidden="false" customHeight="false" outlineLevel="0" collapsed="false">
      <c r="A24" s="5" t="s">
        <v>50</v>
      </c>
      <c r="B24" s="6" t="n">
        <v>18000000</v>
      </c>
      <c r="C24" s="6" t="n">
        <v>17000000</v>
      </c>
      <c r="D24" s="6" t="n">
        <v>17500000</v>
      </c>
      <c r="E24" s="7" t="n">
        <f aca="false">-(B24-C24)</f>
        <v>-1000000</v>
      </c>
      <c r="F24" s="8" t="n">
        <f aca="false">IF(C24=0,"-",E24/ABS(C24))</f>
        <v>-0.0588235294117647</v>
      </c>
      <c r="G24" s="9" t="s">
        <v>51</v>
      </c>
      <c r="H24" s="7" t="n">
        <f aca="false">-(B24-D24)</f>
        <v>-500000</v>
      </c>
      <c r="I24" s="8" t="n">
        <f aca="false">IF(D24=0,"-",H24/ABS(D24))</f>
        <v>-0.0285714285714286</v>
      </c>
      <c r="J24" s="9" t="s">
        <v>52</v>
      </c>
    </row>
    <row r="25" customFormat="false" ht="23.85" hidden="false" customHeight="false" outlineLevel="0" collapsed="false">
      <c r="A25" s="5" t="s">
        <v>53</v>
      </c>
      <c r="B25" s="6" t="n">
        <v>20500000</v>
      </c>
      <c r="C25" s="6" t="n">
        <v>19700000</v>
      </c>
      <c r="D25" s="6" t="n">
        <v>20100000</v>
      </c>
      <c r="E25" s="7" t="n">
        <f aca="false">-(B25-C25)</f>
        <v>-800000</v>
      </c>
      <c r="F25" s="8" t="n">
        <f aca="false">IF(C25=0,"-",E25/ABS(C25))</f>
        <v>-0.0406091370558376</v>
      </c>
      <c r="G25" s="9" t="s">
        <v>54</v>
      </c>
      <c r="H25" s="7" t="n">
        <f aca="false">-(B25-D25)</f>
        <v>-400000</v>
      </c>
      <c r="I25" s="8" t="n">
        <f aca="false">IF(D25=0,"-",H25/ABS(D25))</f>
        <v>-0.0199004975124378</v>
      </c>
      <c r="J25" s="13" t="s">
        <v>43</v>
      </c>
    </row>
    <row r="26" customFormat="false" ht="15" hidden="false" customHeight="false" outlineLevel="0" collapsed="false">
      <c r="A26" s="5" t="s">
        <v>55</v>
      </c>
      <c r="B26" s="6" t="n">
        <v>4500000</v>
      </c>
      <c r="C26" s="6" t="n">
        <v>4400000</v>
      </c>
      <c r="D26" s="6" t="n">
        <v>4450000</v>
      </c>
      <c r="E26" s="7" t="n">
        <f aca="false">-(B26-C26)</f>
        <v>-100000</v>
      </c>
      <c r="F26" s="8" t="n">
        <f aca="false">IF(C26=0,"-",E26/ABS(C26))</f>
        <v>-0.0227272727272727</v>
      </c>
      <c r="G26" s="13" t="s">
        <v>43</v>
      </c>
      <c r="H26" s="7" t="n">
        <f aca="false">-(B26-D26)</f>
        <v>-50000</v>
      </c>
      <c r="I26" s="8" t="n">
        <f aca="false">IF(D26=0,"-",H26/ABS(D26))</f>
        <v>-0.0112359550561798</v>
      </c>
      <c r="J26" s="13" t="s">
        <v>43</v>
      </c>
    </row>
    <row r="27" customFormat="false" ht="23.85" hidden="false" customHeight="false" outlineLevel="0" collapsed="false">
      <c r="A27" s="5" t="s">
        <v>56</v>
      </c>
      <c r="B27" s="6" t="n">
        <v>6500000</v>
      </c>
      <c r="C27" s="6" t="n">
        <v>5800000</v>
      </c>
      <c r="D27" s="6" t="n">
        <v>6200000</v>
      </c>
      <c r="E27" s="7" t="n">
        <f aca="false">-(B27-C27)</f>
        <v>-700000</v>
      </c>
      <c r="F27" s="8" t="n">
        <f aca="false">IF(C27=0,"-",E27/ABS(C27))</f>
        <v>-0.120689655172414</v>
      </c>
      <c r="G27" s="9" t="s">
        <v>57</v>
      </c>
      <c r="H27" s="7" t="n">
        <f aca="false">-(B27-D27)</f>
        <v>-300000</v>
      </c>
      <c r="I27" s="8" t="n">
        <f aca="false">IF(D27=0,"-",H27/ABS(D27))</f>
        <v>-0.0483870967741936</v>
      </c>
      <c r="J27" s="13" t="s">
        <v>43</v>
      </c>
    </row>
    <row r="28" customFormat="false" ht="15" hidden="false" customHeight="false" outlineLevel="0" collapsed="false">
      <c r="A28" s="5" t="s">
        <v>58</v>
      </c>
      <c r="B28" s="6" t="n">
        <v>4200000</v>
      </c>
      <c r="C28" s="6" t="n">
        <v>4000000</v>
      </c>
      <c r="D28" s="6" t="n">
        <v>4100000</v>
      </c>
      <c r="E28" s="7" t="n">
        <f aca="false">-(B28-C28)</f>
        <v>-200000</v>
      </c>
      <c r="F28" s="8" t="n">
        <f aca="false">IF(C28=0,"-",E28/ABS(C28))</f>
        <v>-0.05</v>
      </c>
      <c r="G28" s="9" t="s">
        <v>59</v>
      </c>
      <c r="H28" s="7" t="n">
        <f aca="false">-(B28-D28)</f>
        <v>-100000</v>
      </c>
      <c r="I28" s="8" t="n">
        <f aca="false">IF(D28=0,"-",H28/ABS(D28))</f>
        <v>-0.024390243902439</v>
      </c>
      <c r="J28" s="13" t="s">
        <v>43</v>
      </c>
    </row>
    <row r="29" customFormat="false" ht="15" hidden="false" customHeight="false" outlineLevel="0" collapsed="false">
      <c r="A29" s="5" t="s">
        <v>60</v>
      </c>
      <c r="B29" s="6" t="n">
        <v>3500000</v>
      </c>
      <c r="C29" s="6" t="n">
        <v>3500000</v>
      </c>
      <c r="D29" s="6" t="n">
        <v>3500000</v>
      </c>
      <c r="E29" s="7" t="n">
        <f aca="false">-(B29-C29)</f>
        <v>-0</v>
      </c>
      <c r="F29" s="8" t="n">
        <f aca="false">IF(C29=0,"-",E29/ABS(C29))</f>
        <v>-0</v>
      </c>
      <c r="G29" s="13" t="s">
        <v>43</v>
      </c>
      <c r="H29" s="7" t="n">
        <f aca="false">-(B29-D29)</f>
        <v>-0</v>
      </c>
      <c r="I29" s="8" t="n">
        <f aca="false">IF(D29=0,"-",H29/ABS(D29))</f>
        <v>-0</v>
      </c>
      <c r="J29" s="13" t="s">
        <v>43</v>
      </c>
    </row>
    <row r="30" customFormat="false" ht="15" hidden="false" customHeight="false" outlineLevel="0" collapsed="false">
      <c r="A30" s="10" t="s">
        <v>61</v>
      </c>
      <c r="B30" s="11" t="n">
        <f aca="false">B24+B25+B26+B27+B28+B29</f>
        <v>57200000</v>
      </c>
      <c r="C30" s="11" t="n">
        <f aca="false">C24+C25+C26+C27+C28+C29</f>
        <v>54400000</v>
      </c>
      <c r="D30" s="11" t="n">
        <f aca="false">D24+D25+D26+D27+D28+D29</f>
        <v>55850000</v>
      </c>
      <c r="E30" s="11" t="n">
        <f aca="false">E24+E25+E26+E27+E28+E29</f>
        <v>-2800000</v>
      </c>
      <c r="F30" s="12"/>
      <c r="G30" s="12"/>
      <c r="H30" s="11" t="n">
        <f aca="false">H24+H25+H26+H27+H28+H29</f>
        <v>-1350000</v>
      </c>
      <c r="I30" s="12"/>
      <c r="J30" s="12"/>
    </row>
    <row r="32" customFormat="false" ht="15" hidden="false" customHeight="false" outlineLevel="0" collapsed="false">
      <c r="A32" s="14" t="s">
        <v>62</v>
      </c>
      <c r="B32" s="15" t="n">
        <f aca="false">B13-B21</f>
        <v>116300000</v>
      </c>
      <c r="C32" s="15" t="n">
        <f aca="false">C13-C21</f>
        <v>105300000</v>
      </c>
      <c r="D32" s="15" t="n">
        <f aca="false">D13-D21</f>
        <v>110700000</v>
      </c>
      <c r="E32" s="15" t="n">
        <f aca="false">E13-E21</f>
        <v>21000000</v>
      </c>
      <c r="F32" s="16"/>
      <c r="G32" s="16"/>
      <c r="H32" s="15" t="n">
        <f aca="false">H13-H21</f>
        <v>11400000</v>
      </c>
      <c r="I32" s="16"/>
      <c r="J32" s="16"/>
    </row>
    <row r="34" customFormat="false" ht="15" hidden="false" customHeight="false" outlineLevel="0" collapsed="false">
      <c r="A34" s="14" t="s">
        <v>63</v>
      </c>
      <c r="B34" s="15" t="n">
        <f aca="false">B32-B30</f>
        <v>59100000</v>
      </c>
      <c r="C34" s="15" t="n">
        <f aca="false">C32-C30</f>
        <v>50900000</v>
      </c>
      <c r="D34" s="15" t="n">
        <f aca="false">D32-D30</f>
        <v>54850000</v>
      </c>
      <c r="E34" s="15" t="n">
        <f aca="false">E32-E30</f>
        <v>23800000</v>
      </c>
      <c r="F34" s="16"/>
      <c r="G34" s="16"/>
      <c r="H34" s="15" t="n">
        <f aca="false">H32-H30</f>
        <v>12750000</v>
      </c>
      <c r="I34" s="16"/>
      <c r="J34" s="16"/>
    </row>
  </sheetData>
  <mergeCells count="5">
    <mergeCell ref="A1:J1"/>
    <mergeCell ref="A2:J2"/>
    <mergeCell ref="A5:J5"/>
    <mergeCell ref="A15:J15"/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64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</row>
    <row r="6" customFormat="false" ht="23.85" hidden="false" customHeight="false" outlineLevel="0" collapsed="false">
      <c r="A6" s="5" t="s">
        <v>13</v>
      </c>
      <c r="B6" s="6" t="n">
        <v>100000000</v>
      </c>
      <c r="C6" s="6" t="n">
        <v>95000000</v>
      </c>
      <c r="D6" s="7" t="n">
        <f aca="false">B6-C6</f>
        <v>5000000</v>
      </c>
      <c r="E6" s="8" t="n">
        <f aca="false">IF(C6=0,"-",D6/ABS(C6))</f>
        <v>0.0526315789473684</v>
      </c>
      <c r="F6" s="9" t="s">
        <v>71</v>
      </c>
    </row>
    <row r="7" customFormat="false" ht="23.85" hidden="false" customHeight="false" outlineLevel="0" collapsed="false">
      <c r="A7" s="5" t="s">
        <v>16</v>
      </c>
      <c r="B7" s="6" t="n">
        <v>33000000</v>
      </c>
      <c r="C7" s="6" t="n">
        <v>28000000</v>
      </c>
      <c r="D7" s="7" t="n">
        <f aca="false">B7-C7</f>
        <v>5000000</v>
      </c>
      <c r="E7" s="8" t="n">
        <f aca="false">IF(C7=0,"-",D7/ABS(C7))</f>
        <v>0.178571428571429</v>
      </c>
      <c r="F7" s="9" t="s">
        <v>72</v>
      </c>
    </row>
    <row r="8" customFormat="false" ht="23.85" hidden="false" customHeight="false" outlineLevel="0" collapsed="false">
      <c r="A8" s="5" t="s">
        <v>19</v>
      </c>
      <c r="B8" s="6" t="n">
        <v>27000000</v>
      </c>
      <c r="C8" s="6" t="n">
        <v>24500000</v>
      </c>
      <c r="D8" s="7" t="n">
        <f aca="false">B8-C8</f>
        <v>2500000</v>
      </c>
      <c r="E8" s="8" t="n">
        <f aca="false">IF(C8=0,"-",D8/ABS(C8))</f>
        <v>0.102040816326531</v>
      </c>
      <c r="F8" s="9" t="s">
        <v>73</v>
      </c>
    </row>
    <row r="9" customFormat="false" ht="23.85" hidden="false" customHeight="false" outlineLevel="0" collapsed="false">
      <c r="A9" s="5" t="s">
        <v>22</v>
      </c>
      <c r="B9" s="6" t="n">
        <v>42000000</v>
      </c>
      <c r="C9" s="6" t="n">
        <v>39000000</v>
      </c>
      <c r="D9" s="7" t="n">
        <f aca="false">B9-C9</f>
        <v>3000000</v>
      </c>
      <c r="E9" s="8" t="n">
        <f aca="false">IF(C9=0,"-",D9/ABS(C9))</f>
        <v>0.0769230769230769</v>
      </c>
      <c r="F9" s="9" t="s">
        <v>74</v>
      </c>
    </row>
    <row r="10" customFormat="false" ht="23.85" hidden="false" customHeight="false" outlineLevel="0" collapsed="false">
      <c r="A10" s="5" t="s">
        <v>25</v>
      </c>
      <c r="B10" s="6" t="n">
        <v>52000000</v>
      </c>
      <c r="C10" s="6" t="n">
        <v>38000000</v>
      </c>
      <c r="D10" s="7" t="n">
        <f aca="false">B10-C10</f>
        <v>14000000</v>
      </c>
      <c r="E10" s="8" t="n">
        <f aca="false">IF(C10=0,"-",D10/ABS(C10))</f>
        <v>0.368421052631579</v>
      </c>
      <c r="F10" s="9" t="s">
        <v>75</v>
      </c>
    </row>
    <row r="11" customFormat="false" ht="15" hidden="false" customHeight="false" outlineLevel="0" collapsed="false">
      <c r="A11" s="5" t="s">
        <v>28</v>
      </c>
      <c r="B11" s="6" t="n">
        <v>69000000</v>
      </c>
      <c r="C11" s="6" t="n">
        <v>67500000</v>
      </c>
      <c r="D11" s="7" t="n">
        <f aca="false">B11-C11</f>
        <v>1500000</v>
      </c>
      <c r="E11" s="8" t="n">
        <f aca="false">IF(C11=0,"-",D11/ABS(C11))</f>
        <v>0.0222222222222222</v>
      </c>
      <c r="F11" s="9" t="s">
        <v>76</v>
      </c>
    </row>
    <row r="12" customFormat="false" ht="15" hidden="false" customHeight="false" outlineLevel="0" collapsed="false">
      <c r="A12" s="5" t="s">
        <v>31</v>
      </c>
      <c r="B12" s="6" t="n">
        <v>23000000</v>
      </c>
      <c r="C12" s="6" t="n">
        <v>21500000</v>
      </c>
      <c r="D12" s="7" t="n">
        <f aca="false">B12-C12</f>
        <v>1500000</v>
      </c>
      <c r="E12" s="8" t="n">
        <f aca="false">IF(C12=0,"-",D12/ABS(C12))</f>
        <v>0.0697674418604651</v>
      </c>
      <c r="F12" s="9" t="s">
        <v>77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346000000</v>
      </c>
      <c r="C13" s="11" t="n">
        <f aca="false">C6+C7+C8+C9+C10+C11+C12</f>
        <v>313500000</v>
      </c>
      <c r="D13" s="11" t="n">
        <f aca="false">D6+D7+D8+D9+D10+D11+D12</f>
        <v>32500000</v>
      </c>
      <c r="E13" s="12"/>
      <c r="F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5" t="s">
        <v>36</v>
      </c>
      <c r="B16" s="6" t="n">
        <v>69700000</v>
      </c>
      <c r="C16" s="6" t="n">
        <v>64300000</v>
      </c>
      <c r="D16" s="7" t="n">
        <f aca="false">-(B16-C16)</f>
        <v>-5400000</v>
      </c>
      <c r="E16" s="8" t="n">
        <f aca="false">IF(C16=0,"-",D16/ABS(C16))</f>
        <v>-0.0839813374805599</v>
      </c>
      <c r="F16" s="9" t="s">
        <v>78</v>
      </c>
    </row>
    <row r="17" customFormat="false" ht="15" hidden="false" customHeight="false" outlineLevel="0" collapsed="false">
      <c r="A17" s="5" t="s">
        <v>39</v>
      </c>
      <c r="B17" s="6" t="n">
        <v>16700000</v>
      </c>
      <c r="C17" s="6" t="n">
        <v>14800000</v>
      </c>
      <c r="D17" s="7" t="n">
        <f aca="false">-(B17-C17)</f>
        <v>-1900000</v>
      </c>
      <c r="E17" s="8" t="n">
        <f aca="false">IF(C17=0,"-",D17/ABS(C17))</f>
        <v>-0.128378378378378</v>
      </c>
      <c r="F17" s="9" t="s">
        <v>79</v>
      </c>
    </row>
    <row r="18" customFormat="false" ht="15" hidden="false" customHeight="false" outlineLevel="0" collapsed="false">
      <c r="A18" s="5" t="s">
        <v>42</v>
      </c>
      <c r="B18" s="6" t="n">
        <v>17250000</v>
      </c>
      <c r="C18" s="6" t="n">
        <v>16800000</v>
      </c>
      <c r="D18" s="7" t="n">
        <f aca="false">-(B18-C18)</f>
        <v>-450000</v>
      </c>
      <c r="E18" s="8" t="n">
        <f aca="false">IF(C18=0,"-",D18/ABS(C18))</f>
        <v>-0.0267857142857143</v>
      </c>
      <c r="F18" s="13" t="s">
        <v>43</v>
      </c>
    </row>
    <row r="19" customFormat="false" ht="15" hidden="false" customHeight="false" outlineLevel="0" collapsed="false">
      <c r="A19" s="5" t="s">
        <v>44</v>
      </c>
      <c r="B19" s="6" t="n">
        <v>16200000</v>
      </c>
      <c r="C19" s="6" t="n">
        <v>15250000</v>
      </c>
      <c r="D19" s="7" t="n">
        <f aca="false">-(B19-C19)</f>
        <v>-950000</v>
      </c>
      <c r="E19" s="8" t="n">
        <f aca="false">IF(C19=0,"-",D19/ABS(C19))</f>
        <v>-0.0622950819672131</v>
      </c>
      <c r="F19" s="9" t="s">
        <v>80</v>
      </c>
    </row>
    <row r="20" customFormat="false" ht="15" hidden="false" customHeight="false" outlineLevel="0" collapsed="false">
      <c r="A20" s="5" t="s">
        <v>46</v>
      </c>
      <c r="B20" s="6" t="n">
        <v>4550000</v>
      </c>
      <c r="C20" s="6" t="n">
        <v>4650000</v>
      </c>
      <c r="D20" s="7" t="n">
        <f aca="false">-(B20-C20)</f>
        <v>100000</v>
      </c>
      <c r="E20" s="8" t="n">
        <f aca="false">IF(C20=0,"-",D20/ABS(C20))</f>
        <v>0.021505376344086</v>
      </c>
      <c r="F20" s="13" t="s">
        <v>43</v>
      </c>
    </row>
    <row r="21" customFormat="false" ht="15" hidden="false" customHeight="false" outlineLevel="0" collapsed="false">
      <c r="A21" s="10" t="s">
        <v>48</v>
      </c>
      <c r="B21" s="11" t="n">
        <f aca="false">B16+B17+B18+B19+B20</f>
        <v>124400000</v>
      </c>
      <c r="C21" s="11" t="n">
        <f aca="false">C16+C17+C18+C19+C20</f>
        <v>115800000</v>
      </c>
      <c r="D21" s="11" t="n">
        <f aca="false">D16+D17+D18+D19+D20</f>
        <v>-8600000</v>
      </c>
      <c r="E21" s="12"/>
      <c r="F21" s="12"/>
    </row>
    <row r="23" customFormat="false" ht="15" hidden="false" customHeight="false" outlineLevel="0" collapsed="false">
      <c r="A23" s="4" t="s">
        <v>49</v>
      </c>
      <c r="B23" s="4"/>
      <c r="C23" s="4"/>
      <c r="D23" s="4"/>
      <c r="E23" s="4"/>
      <c r="F23" s="4"/>
    </row>
    <row r="24" customFormat="false" ht="15" hidden="false" customHeight="false" outlineLevel="0" collapsed="false">
      <c r="A24" s="5" t="s">
        <v>50</v>
      </c>
      <c r="B24" s="6" t="n">
        <v>35000000</v>
      </c>
      <c r="C24" s="6" t="n">
        <v>33500000</v>
      </c>
      <c r="D24" s="7" t="n">
        <f aca="false">-(B24-C24)</f>
        <v>-1500000</v>
      </c>
      <c r="E24" s="8" t="n">
        <f aca="false">IF(C24=0,"-",D24/ABS(C24))</f>
        <v>-0.0447761194029851</v>
      </c>
      <c r="F24" s="9" t="s">
        <v>81</v>
      </c>
    </row>
    <row r="25" customFormat="false" ht="15" hidden="false" customHeight="false" outlineLevel="0" collapsed="false">
      <c r="A25" s="5" t="s">
        <v>53</v>
      </c>
      <c r="B25" s="6" t="n">
        <v>40200000</v>
      </c>
      <c r="C25" s="6" t="n">
        <v>39100000</v>
      </c>
      <c r="D25" s="7" t="n">
        <f aca="false">-(B25-C25)</f>
        <v>-1100000</v>
      </c>
      <c r="E25" s="8" t="n">
        <f aca="false">IF(C25=0,"-",D25/ABS(C25))</f>
        <v>-0.0281329923273657</v>
      </c>
      <c r="F25" s="9" t="s">
        <v>82</v>
      </c>
    </row>
    <row r="26" customFormat="false" ht="15" hidden="false" customHeight="false" outlineLevel="0" collapsed="false">
      <c r="A26" s="5" t="s">
        <v>55</v>
      </c>
      <c r="B26" s="6" t="n">
        <v>8900000</v>
      </c>
      <c r="C26" s="6" t="n">
        <v>8750000</v>
      </c>
      <c r="D26" s="7" t="n">
        <f aca="false">-(B26-C26)</f>
        <v>-150000</v>
      </c>
      <c r="E26" s="8" t="n">
        <f aca="false">IF(C26=0,"-",D26/ABS(C26))</f>
        <v>-0.0171428571428571</v>
      </c>
      <c r="F26" s="13" t="s">
        <v>43</v>
      </c>
    </row>
    <row r="27" customFormat="false" ht="15" hidden="false" customHeight="false" outlineLevel="0" collapsed="false">
      <c r="A27" s="5" t="s">
        <v>56</v>
      </c>
      <c r="B27" s="6" t="n">
        <v>12300000</v>
      </c>
      <c r="C27" s="6" t="n">
        <v>11400000</v>
      </c>
      <c r="D27" s="7" t="n">
        <f aca="false">-(B27-C27)</f>
        <v>-900000</v>
      </c>
      <c r="E27" s="8" t="n">
        <f aca="false">IF(C27=0,"-",D27/ABS(C27))</f>
        <v>-0.0789473684210526</v>
      </c>
      <c r="F27" s="9" t="s">
        <v>83</v>
      </c>
    </row>
    <row r="28" customFormat="false" ht="15" hidden="false" customHeight="false" outlineLevel="0" collapsed="false">
      <c r="A28" s="5" t="s">
        <v>58</v>
      </c>
      <c r="B28" s="6" t="n">
        <v>8200000</v>
      </c>
      <c r="C28" s="6" t="n">
        <v>7900000</v>
      </c>
      <c r="D28" s="7" t="n">
        <f aca="false">-(B28-C28)</f>
        <v>-300000</v>
      </c>
      <c r="E28" s="8" t="n">
        <f aca="false">IF(C28=0,"-",D28/ABS(C28))</f>
        <v>-0.0379746835443038</v>
      </c>
      <c r="F28" s="13" t="s">
        <v>43</v>
      </c>
    </row>
    <row r="29" customFormat="false" ht="15" hidden="false" customHeight="false" outlineLevel="0" collapsed="false">
      <c r="A29" s="5" t="s">
        <v>60</v>
      </c>
      <c r="B29" s="6" t="n">
        <v>7000000</v>
      </c>
      <c r="C29" s="6" t="n">
        <v>7000000</v>
      </c>
      <c r="D29" s="7" t="n">
        <f aca="false">-(B29-C29)</f>
        <v>-0</v>
      </c>
      <c r="E29" s="8" t="n">
        <f aca="false">IF(C29=0,"-",D29/ABS(C29))</f>
        <v>-0</v>
      </c>
      <c r="F29" s="13" t="s">
        <v>43</v>
      </c>
    </row>
    <row r="30" customFormat="false" ht="15" hidden="false" customHeight="false" outlineLevel="0" collapsed="false">
      <c r="A30" s="10" t="s">
        <v>61</v>
      </c>
      <c r="B30" s="11" t="n">
        <f aca="false">B24+B25+B26+B27+B28+B29</f>
        <v>111600000</v>
      </c>
      <c r="C30" s="11" t="n">
        <f aca="false">C24+C25+C26+C27+C28+C29</f>
        <v>107650000</v>
      </c>
      <c r="D30" s="11" t="n">
        <f aca="false">D24+D25+D26+D27+D28+D29</f>
        <v>-3950000</v>
      </c>
      <c r="E30" s="12"/>
      <c r="F30" s="12"/>
    </row>
    <row r="32" customFormat="false" ht="15" hidden="false" customHeight="false" outlineLevel="0" collapsed="false">
      <c r="A32" s="14" t="s">
        <v>62</v>
      </c>
      <c r="B32" s="15" t="n">
        <f aca="false">B13-B21</f>
        <v>221600000</v>
      </c>
      <c r="C32" s="15" t="n">
        <f aca="false">C13-C21</f>
        <v>197700000</v>
      </c>
      <c r="D32" s="15" t="n">
        <f aca="false">D13-D21</f>
        <v>41100000</v>
      </c>
      <c r="E32" s="16"/>
      <c r="F32" s="16"/>
    </row>
    <row r="34" customFormat="false" ht="15" hidden="false" customHeight="false" outlineLevel="0" collapsed="false">
      <c r="A34" s="14" t="s">
        <v>63</v>
      </c>
      <c r="B34" s="15" t="n">
        <f aca="false">B32-B30</f>
        <v>110000000</v>
      </c>
      <c r="C34" s="15" t="n">
        <f aca="false">C32-C30</f>
        <v>90050000</v>
      </c>
      <c r="D34" s="15" t="n">
        <f aca="false">D32-D30</f>
        <v>45050000</v>
      </c>
      <c r="E34" s="16"/>
      <c r="F34" s="16"/>
    </row>
  </sheetData>
  <mergeCells count="5">
    <mergeCell ref="A1:F1"/>
    <mergeCell ref="A2:F2"/>
    <mergeCell ref="A5:F5"/>
    <mergeCell ref="A15:F15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84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91</v>
      </c>
      <c r="B5" s="4"/>
      <c r="C5" s="4"/>
      <c r="D5" s="4"/>
      <c r="E5" s="4"/>
      <c r="F5" s="4"/>
    </row>
    <row r="6" customFormat="false" ht="23.85" hidden="false" customHeight="false" outlineLevel="0" collapsed="false">
      <c r="A6" s="5" t="s">
        <v>92</v>
      </c>
      <c r="B6" s="6" t="n">
        <v>42000000</v>
      </c>
      <c r="C6" s="6" t="n">
        <v>36000000</v>
      </c>
      <c r="D6" s="7" t="n">
        <f aca="false">B6-C6</f>
        <v>6000000</v>
      </c>
      <c r="E6" s="8" t="n">
        <f aca="false">IF(C6=0,"-",D6/ABS(C6))</f>
        <v>0.166666666666667</v>
      </c>
      <c r="F6" s="9" t="s">
        <v>93</v>
      </c>
    </row>
    <row r="7" customFormat="false" ht="23.85" hidden="false" customHeight="false" outlineLevel="0" collapsed="false">
      <c r="A7" s="5" t="s">
        <v>94</v>
      </c>
      <c r="B7" s="6" t="n">
        <v>-1800000</v>
      </c>
      <c r="C7" s="6" t="n">
        <v>-1500000</v>
      </c>
      <c r="D7" s="7" t="n">
        <f aca="false">B7-C7</f>
        <v>-300000</v>
      </c>
      <c r="E7" s="8" t="n">
        <f aca="false">IF(C7=0,"-",D7/ABS(C7))</f>
        <v>-0.2</v>
      </c>
      <c r="F7" s="9" t="s">
        <v>95</v>
      </c>
    </row>
    <row r="8" customFormat="false" ht="23.85" hidden="false" customHeight="false" outlineLevel="0" collapsed="false">
      <c r="A8" s="5" t="s">
        <v>96</v>
      </c>
      <c r="B8" s="6" t="n">
        <v>8500000</v>
      </c>
      <c r="C8" s="6" t="n">
        <v>7200000</v>
      </c>
      <c r="D8" s="7" t="n">
        <f aca="false">B8-C8</f>
        <v>1300000</v>
      </c>
      <c r="E8" s="8" t="n">
        <f aca="false">IF(C8=0,"-",D8/ABS(C8))</f>
        <v>0.180555555555556</v>
      </c>
      <c r="F8" s="9" t="s">
        <v>97</v>
      </c>
    </row>
    <row r="9" customFormat="false" ht="23.85" hidden="false" customHeight="false" outlineLevel="0" collapsed="false">
      <c r="A9" s="5" t="s">
        <v>98</v>
      </c>
      <c r="B9" s="6" t="n">
        <v>32300000</v>
      </c>
      <c r="C9" s="6" t="n">
        <v>29000000</v>
      </c>
      <c r="D9" s="7" t="n">
        <f aca="false">B9-C9</f>
        <v>3300000</v>
      </c>
      <c r="E9" s="8" t="n">
        <f aca="false">IF(C9=0,"-",D9/ABS(C9))</f>
        <v>0.113793103448276</v>
      </c>
      <c r="F9" s="9" t="s">
        <v>99</v>
      </c>
    </row>
    <row r="10" customFormat="false" ht="23.85" hidden="false" customHeight="false" outlineLevel="0" collapsed="false">
      <c r="A10" s="5" t="s">
        <v>100</v>
      </c>
      <c r="B10" s="6" t="n">
        <v>15000000</v>
      </c>
      <c r="C10" s="6" t="n">
        <v>14000000</v>
      </c>
      <c r="D10" s="7" t="n">
        <f aca="false">B10-C10</f>
        <v>1000000</v>
      </c>
      <c r="E10" s="8" t="n">
        <f aca="false">IF(C10=0,"-",D10/ABS(C10))</f>
        <v>0.0714285714285714</v>
      </c>
      <c r="F10" s="9" t="s">
        <v>101</v>
      </c>
    </row>
    <row r="11" customFormat="false" ht="15" hidden="false" customHeight="false" outlineLevel="0" collapsed="false">
      <c r="A11" s="5" t="s">
        <v>102</v>
      </c>
      <c r="B11" s="6" t="n">
        <v>20000000</v>
      </c>
      <c r="C11" s="6" t="n">
        <v>22000000</v>
      </c>
      <c r="D11" s="7" t="n">
        <f aca="false">B11-C11</f>
        <v>-2000000</v>
      </c>
      <c r="E11" s="8" t="n">
        <f aca="false">IF(C11=0,"-",D11/ABS(C11))</f>
        <v>-0.0909090909090909</v>
      </c>
      <c r="F11" s="9" t="s">
        <v>103</v>
      </c>
    </row>
    <row r="12" customFormat="false" ht="15" hidden="false" customHeight="false" outlineLevel="0" collapsed="false">
      <c r="A12" s="5" t="s">
        <v>104</v>
      </c>
      <c r="B12" s="6" t="n">
        <v>4200000</v>
      </c>
      <c r="C12" s="6" t="n">
        <v>3800000</v>
      </c>
      <c r="D12" s="7" t="n">
        <f aca="false">B12-C12</f>
        <v>400000</v>
      </c>
      <c r="E12" s="8" t="n">
        <f aca="false">IF(C12=0,"-",D12/ABS(C12))</f>
        <v>0.105263157894737</v>
      </c>
      <c r="F12" s="9" t="s">
        <v>105</v>
      </c>
    </row>
    <row r="13" customFormat="false" ht="15" hidden="false" customHeight="false" outlineLevel="0" collapsed="false">
      <c r="A13" s="10" t="s">
        <v>106</v>
      </c>
      <c r="B13" s="11" t="n">
        <f aca="false">B6+B7+B8+B9+B10+B11+B12</f>
        <v>120200000</v>
      </c>
      <c r="C13" s="11" t="n">
        <f aca="false">C6+C7+C8+C9+C10+C11+C12</f>
        <v>110500000</v>
      </c>
      <c r="D13" s="11" t="n">
        <f aca="false">D6+D7+D8+D9+D10+D11+D12</f>
        <v>9700000</v>
      </c>
      <c r="E13" s="12"/>
      <c r="F13" s="12"/>
    </row>
    <row r="14" customFormat="false" ht="15" hidden="false" customHeight="false" outlineLevel="0" collapsed="false">
      <c r="A14" s="4" t="s">
        <v>107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5" t="s">
        <v>108</v>
      </c>
      <c r="B15" s="6" t="n">
        <v>32000000</v>
      </c>
      <c r="C15" s="6" t="n">
        <v>28000000</v>
      </c>
      <c r="D15" s="7" t="n">
        <f aca="false">B15-C15</f>
        <v>4000000</v>
      </c>
      <c r="E15" s="8" t="n">
        <f aca="false">IF(C15=0,"-",D15/ABS(C15))</f>
        <v>0.142857142857143</v>
      </c>
      <c r="F15" s="9" t="s">
        <v>109</v>
      </c>
    </row>
    <row r="16" customFormat="false" ht="15" hidden="false" customHeight="false" outlineLevel="0" collapsed="false">
      <c r="A16" s="5" t="s">
        <v>110</v>
      </c>
      <c r="B16" s="6" t="n">
        <v>14000000</v>
      </c>
      <c r="C16" s="6" t="n">
        <v>12000000</v>
      </c>
      <c r="D16" s="7" t="n">
        <f aca="false">B16-C16</f>
        <v>2000000</v>
      </c>
      <c r="E16" s="8" t="n">
        <f aca="false">IF(C16=0,"-",D16/ABS(C16))</f>
        <v>0.166666666666667</v>
      </c>
      <c r="F16" s="9" t="s">
        <v>111</v>
      </c>
    </row>
    <row r="17" customFormat="false" ht="15" hidden="false" customHeight="false" outlineLevel="0" collapsed="false">
      <c r="A17" s="5" t="s">
        <v>112</v>
      </c>
      <c r="B17" s="6" t="n">
        <v>3800000</v>
      </c>
      <c r="C17" s="6" t="n">
        <v>3500000</v>
      </c>
      <c r="D17" s="7" t="n">
        <f aca="false">B17-C17</f>
        <v>300000</v>
      </c>
      <c r="E17" s="8" t="n">
        <f aca="false">IF(C17=0,"-",D17/ABS(C17))</f>
        <v>0.0857142857142857</v>
      </c>
      <c r="F17" s="9" t="s">
        <v>113</v>
      </c>
    </row>
    <row r="18" customFormat="false" ht="15" hidden="false" customHeight="false" outlineLevel="0" collapsed="false">
      <c r="A18" s="5" t="s">
        <v>114</v>
      </c>
      <c r="B18" s="6" t="n">
        <v>4200000</v>
      </c>
      <c r="C18" s="6" t="n">
        <v>3600000</v>
      </c>
      <c r="D18" s="7" t="n">
        <f aca="false">B18-C18</f>
        <v>600000</v>
      </c>
      <c r="E18" s="8" t="n">
        <f aca="false">IF(C18=0,"-",D18/ABS(C18))</f>
        <v>0.166666666666667</v>
      </c>
      <c r="F18" s="9" t="s">
        <v>115</v>
      </c>
    </row>
    <row r="19" customFormat="false" ht="23.85" hidden="false" customHeight="false" outlineLevel="0" collapsed="false">
      <c r="A19" s="5" t="s">
        <v>116</v>
      </c>
      <c r="B19" s="6" t="n">
        <v>5200000</v>
      </c>
      <c r="C19" s="6" t="n">
        <v>4500000</v>
      </c>
      <c r="D19" s="7" t="n">
        <f aca="false">B19-C19</f>
        <v>700000</v>
      </c>
      <c r="E19" s="8" t="n">
        <f aca="false">IF(C19=0,"-",D19/ABS(C19))</f>
        <v>0.155555555555556</v>
      </c>
      <c r="F19" s="9" t="s">
        <v>117</v>
      </c>
    </row>
    <row r="20" customFormat="false" ht="15" hidden="false" customHeight="false" outlineLevel="0" collapsed="false">
      <c r="A20" s="10" t="s">
        <v>118</v>
      </c>
      <c r="B20" s="11" t="n">
        <f aca="false">B15+B16+B17+B18+B19</f>
        <v>59200000</v>
      </c>
      <c r="C20" s="11" t="n">
        <f aca="false">C15+C16+C17+C18+C19</f>
        <v>51600000</v>
      </c>
      <c r="D20" s="11" t="n">
        <f aca="false">D15+D16+D17+D18+D19</f>
        <v>7600000</v>
      </c>
      <c r="E20" s="12"/>
      <c r="F20" s="12"/>
    </row>
  </sheetData>
  <mergeCells count="4">
    <mergeCell ref="A1:F1"/>
    <mergeCell ref="A2:F2"/>
    <mergeCell ref="A5:F5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23.85" hidden="false" customHeight="false" outlineLevel="0" collapsed="false">
      <c r="A6" s="5" t="s">
        <v>120</v>
      </c>
      <c r="B6" s="6" t="n">
        <v>38000000</v>
      </c>
      <c r="C6" s="6" t="n">
        <v>35000000</v>
      </c>
      <c r="D6" s="6" t="n">
        <v>37000000</v>
      </c>
      <c r="E6" s="7" t="n">
        <f aca="false">B6-C6</f>
        <v>3000000</v>
      </c>
      <c r="F6" s="8" t="n">
        <f aca="false">IF(C6=0,"-",E6/ABS(C6))</f>
        <v>0.0857142857142857</v>
      </c>
      <c r="G6" s="9" t="s">
        <v>121</v>
      </c>
      <c r="H6" s="7" t="n">
        <f aca="false">B6-D6</f>
        <v>1000000</v>
      </c>
      <c r="I6" s="8" t="n">
        <f aca="false">IF(D6=0,"-",H6/ABS(D6))</f>
        <v>0.027027027027027</v>
      </c>
      <c r="J6" s="9" t="s">
        <v>122</v>
      </c>
    </row>
    <row r="7" customFormat="false" ht="23.85" hidden="false" customHeight="false" outlineLevel="0" collapsed="false">
      <c r="A7" s="5" t="s">
        <v>123</v>
      </c>
      <c r="B7" s="6" t="n">
        <v>22000000</v>
      </c>
      <c r="C7" s="6" t="n">
        <v>18000000</v>
      </c>
      <c r="D7" s="6" t="n">
        <v>20000000</v>
      </c>
      <c r="E7" s="7" t="n">
        <f aca="false">B7-C7</f>
        <v>4000000</v>
      </c>
      <c r="F7" s="8" t="n">
        <f aca="false">IF(C7=0,"-",E7/ABS(C7))</f>
        <v>0.222222222222222</v>
      </c>
      <c r="G7" s="9" t="s">
        <v>124</v>
      </c>
      <c r="H7" s="7" t="n">
        <f aca="false">B7-D7</f>
        <v>2000000</v>
      </c>
      <c r="I7" s="8" t="n">
        <f aca="false">IF(D7=0,"-",H7/ABS(D7))</f>
        <v>0.1</v>
      </c>
      <c r="J7" s="9" t="s">
        <v>125</v>
      </c>
    </row>
    <row r="8" customFormat="false" ht="35.05" hidden="false" customHeight="false" outlineLevel="0" collapsed="false">
      <c r="A8" s="5" t="s">
        <v>126</v>
      </c>
      <c r="B8" s="6" t="n">
        <v>32000000</v>
      </c>
      <c r="C8" s="6" t="n">
        <v>28000000</v>
      </c>
      <c r="D8" s="6" t="n">
        <v>30000000</v>
      </c>
      <c r="E8" s="7" t="n">
        <f aca="false">B8-C8</f>
        <v>4000000</v>
      </c>
      <c r="F8" s="8" t="n">
        <f aca="false">IF(C8=0,"-",E8/ABS(C8))</f>
        <v>0.142857142857143</v>
      </c>
      <c r="G8" s="9" t="s">
        <v>127</v>
      </c>
      <c r="H8" s="7" t="n">
        <f aca="false">B8-D8</f>
        <v>2000000</v>
      </c>
      <c r="I8" s="8" t="n">
        <f aca="false">IF(D8=0,"-",H8/ABS(D8))</f>
        <v>0.0666666666666667</v>
      </c>
      <c r="J8" s="9" t="s">
        <v>128</v>
      </c>
    </row>
    <row r="9" customFormat="false" ht="23.85" hidden="false" customHeight="false" outlineLevel="0" collapsed="false">
      <c r="A9" s="5" t="s">
        <v>129</v>
      </c>
      <c r="B9" s="6" t="n">
        <v>15000000</v>
      </c>
      <c r="C9" s="6" t="n">
        <v>13000000</v>
      </c>
      <c r="D9" s="6" t="n">
        <v>14000000</v>
      </c>
      <c r="E9" s="7" t="n">
        <f aca="false">B9-C9</f>
        <v>2000000</v>
      </c>
      <c r="F9" s="8" t="n">
        <f aca="false">IF(C9=0,"-",E9/ABS(C9))</f>
        <v>0.153846153846154</v>
      </c>
      <c r="G9" s="9" t="s">
        <v>130</v>
      </c>
      <c r="H9" s="7" t="n">
        <f aca="false">B9-D9</f>
        <v>1000000</v>
      </c>
      <c r="I9" s="8" t="n">
        <f aca="false">IF(D9=0,"-",H9/ABS(D9))</f>
        <v>0.0714285714285714</v>
      </c>
      <c r="J9" s="9" t="s">
        <v>131</v>
      </c>
    </row>
    <row r="10" customFormat="false" ht="23.85" hidden="false" customHeight="false" outlineLevel="0" collapsed="false">
      <c r="A10" s="5" t="s">
        <v>132</v>
      </c>
      <c r="B10" s="6" t="n">
        <v>12000000</v>
      </c>
      <c r="C10" s="6" t="n">
        <v>10000000</v>
      </c>
      <c r="D10" s="6" t="n">
        <v>11000000</v>
      </c>
      <c r="E10" s="7" t="n">
        <f aca="false">B10-C10</f>
        <v>2000000</v>
      </c>
      <c r="F10" s="8" t="n">
        <f aca="false">IF(C10=0,"-",E10/ABS(C10))</f>
        <v>0.2</v>
      </c>
      <c r="G10" s="9" t="s">
        <v>133</v>
      </c>
      <c r="H10" s="7" t="n">
        <f aca="false">B10-D10</f>
        <v>1000000</v>
      </c>
      <c r="I10" s="8" t="n">
        <f aca="false">IF(D10=0,"-",H10/ABS(D10))</f>
        <v>0.0909090909090909</v>
      </c>
      <c r="J10" s="9" t="s">
        <v>134</v>
      </c>
    </row>
    <row r="11" customFormat="false" ht="15" hidden="false" customHeight="false" outlineLevel="0" collapsed="false">
      <c r="A11" s="5" t="s">
        <v>28</v>
      </c>
      <c r="B11" s="6" t="n">
        <v>28000000</v>
      </c>
      <c r="C11" s="6" t="n">
        <v>27500000</v>
      </c>
      <c r="D11" s="6" t="n">
        <v>27800000</v>
      </c>
      <c r="E11" s="7" t="n">
        <f aca="false">B11-C11</f>
        <v>500000</v>
      </c>
      <c r="F11" s="8" t="n">
        <f aca="false">IF(C11=0,"-",E11/ABS(C11))</f>
        <v>0.0181818181818182</v>
      </c>
      <c r="G11" s="9" t="s">
        <v>59</v>
      </c>
      <c r="H11" s="7" t="n">
        <f aca="false">B11-D11</f>
        <v>200000</v>
      </c>
      <c r="I11" s="8" t="n">
        <f aca="false">IF(D11=0,"-",H11/ABS(D11))</f>
        <v>0.00719424460431655</v>
      </c>
      <c r="J11" s="13" t="s">
        <v>43</v>
      </c>
    </row>
    <row r="12" customFormat="false" ht="23.85" hidden="false" customHeight="false" outlineLevel="0" collapsed="false">
      <c r="A12" s="5" t="s">
        <v>31</v>
      </c>
      <c r="B12" s="6" t="n">
        <v>9000000</v>
      </c>
      <c r="C12" s="6" t="n">
        <v>8500000</v>
      </c>
      <c r="D12" s="6" t="n">
        <v>8800000</v>
      </c>
      <c r="E12" s="7" t="n">
        <f aca="false">B12-C12</f>
        <v>500000</v>
      </c>
      <c r="F12" s="8" t="n">
        <f aca="false">IF(C12=0,"-",E12/ABS(C12))</f>
        <v>0.0588235294117647</v>
      </c>
      <c r="G12" s="9" t="s">
        <v>135</v>
      </c>
      <c r="H12" s="7" t="n">
        <f aca="false">B12-D12</f>
        <v>200000</v>
      </c>
      <c r="I12" s="8" t="n">
        <f aca="false">IF(D12=0,"-",H12/ABS(D12))</f>
        <v>0.0227272727272727</v>
      </c>
      <c r="J12" s="13" t="s">
        <v>43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156000000</v>
      </c>
      <c r="C13" s="11" t="n">
        <f aca="false">C6+C7+C8+C9+C10+C11+C12</f>
        <v>140000000</v>
      </c>
      <c r="D13" s="11" t="n">
        <f aca="false">D6+D7+D8+D9+D10+D11+D12</f>
        <v>148600000</v>
      </c>
      <c r="E13" s="11" t="n">
        <f aca="false">E6+E7+E8+E9+E10+E11+E12</f>
        <v>16000000</v>
      </c>
      <c r="F13" s="12"/>
      <c r="G13" s="12"/>
      <c r="H13" s="11" t="n">
        <f aca="false">H6+H7+H8+H9+H10+H11+H12</f>
        <v>7400000</v>
      </c>
      <c r="I13" s="12"/>
      <c r="J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23.85" hidden="false" customHeight="false" outlineLevel="0" collapsed="false">
      <c r="A16" s="5" t="s">
        <v>136</v>
      </c>
      <c r="B16" s="6" t="n">
        <v>42500000</v>
      </c>
      <c r="C16" s="6" t="n">
        <v>38000000</v>
      </c>
      <c r="D16" s="6" t="n">
        <v>40100000</v>
      </c>
      <c r="E16" s="7" t="n">
        <f aca="false">-(B16-C16)</f>
        <v>-4500000</v>
      </c>
      <c r="F16" s="8" t="n">
        <f aca="false">IF(C16=0,"-",E16/ABS(C16))</f>
        <v>-0.118421052631579</v>
      </c>
      <c r="G16" s="9" t="s">
        <v>137</v>
      </c>
      <c r="H16" s="7" t="n">
        <f aca="false">-(B16-D16)</f>
        <v>-2400000</v>
      </c>
      <c r="I16" s="8" t="n">
        <f aca="false">IF(D16=0,"-",H16/ABS(D16))</f>
        <v>-0.0598503740648379</v>
      </c>
      <c r="J16" s="9" t="s">
        <v>138</v>
      </c>
    </row>
    <row r="17" customFormat="false" ht="23.85" hidden="false" customHeight="false" outlineLevel="0" collapsed="false">
      <c r="A17" s="5" t="s">
        <v>139</v>
      </c>
      <c r="B17" s="6" t="n">
        <v>5250000</v>
      </c>
      <c r="C17" s="6" t="n">
        <v>4450000</v>
      </c>
      <c r="D17" s="6" t="n">
        <v>4850000</v>
      </c>
      <c r="E17" s="7" t="n">
        <f aca="false">-(B17-C17)</f>
        <v>-800000</v>
      </c>
      <c r="F17" s="8" t="n">
        <f aca="false">IF(C17=0,"-",E17/ABS(C17))</f>
        <v>-0.179775280898876</v>
      </c>
      <c r="G17" s="9" t="s">
        <v>140</v>
      </c>
      <c r="H17" s="7" t="n">
        <f aca="false">-(B17-D17)</f>
        <v>-400000</v>
      </c>
      <c r="I17" s="8" t="n">
        <f aca="false">IF(D17=0,"-",H17/ABS(D17))</f>
        <v>-0.0824742268041237</v>
      </c>
      <c r="J17" s="9" t="s">
        <v>59</v>
      </c>
    </row>
    <row r="18" customFormat="false" ht="15" hidden="false" customHeight="false" outlineLevel="0" collapsed="false">
      <c r="A18" s="5" t="s">
        <v>42</v>
      </c>
      <c r="B18" s="6" t="n">
        <v>7000000</v>
      </c>
      <c r="C18" s="6" t="n">
        <v>6875000</v>
      </c>
      <c r="D18" s="6" t="n">
        <v>6950000</v>
      </c>
      <c r="E18" s="7" t="n">
        <f aca="false">-(B18-C18)</f>
        <v>-125000</v>
      </c>
      <c r="F18" s="8" t="n">
        <f aca="false">IF(C18=0,"-",E18/ABS(C18))</f>
        <v>-0.0181818181818182</v>
      </c>
      <c r="G18" s="13" t="s">
        <v>43</v>
      </c>
      <c r="H18" s="7" t="n">
        <f aca="false">-(B18-D18)</f>
        <v>-50000</v>
      </c>
      <c r="I18" s="8" t="n">
        <f aca="false">IF(D18=0,"-",H18/ABS(D18))</f>
        <v>-0.00719424460431655</v>
      </c>
      <c r="J18" s="13" t="s">
        <v>43</v>
      </c>
    </row>
    <row r="19" customFormat="false" ht="15" hidden="false" customHeight="false" outlineLevel="0" collapsed="false">
      <c r="A19" s="5" t="s">
        <v>44</v>
      </c>
      <c r="B19" s="6" t="n">
        <v>6300000</v>
      </c>
      <c r="C19" s="6" t="n">
        <v>6000000</v>
      </c>
      <c r="D19" s="6" t="n">
        <v>6150000</v>
      </c>
      <c r="E19" s="7" t="n">
        <f aca="false">-(B19-C19)</f>
        <v>-300000</v>
      </c>
      <c r="F19" s="8" t="n">
        <f aca="false">IF(C19=0,"-",E19/ABS(C19))</f>
        <v>-0.05</v>
      </c>
      <c r="G19" s="9" t="s">
        <v>141</v>
      </c>
      <c r="H19" s="7" t="n">
        <f aca="false">-(B19-D19)</f>
        <v>-150000</v>
      </c>
      <c r="I19" s="8" t="n">
        <f aca="false">IF(D19=0,"-",H19/ABS(D19))</f>
        <v>-0.024390243902439</v>
      </c>
      <c r="J19" s="13" t="s">
        <v>43</v>
      </c>
    </row>
    <row r="20" customFormat="false" ht="23.85" hidden="false" customHeight="false" outlineLevel="0" collapsed="false">
      <c r="A20" s="5" t="s">
        <v>46</v>
      </c>
      <c r="B20" s="6" t="n">
        <v>5350000</v>
      </c>
      <c r="C20" s="6" t="n">
        <v>4850000</v>
      </c>
      <c r="D20" s="6" t="n">
        <v>5300000</v>
      </c>
      <c r="E20" s="7" t="n">
        <f aca="false">-(B20-C20)</f>
        <v>-500000</v>
      </c>
      <c r="F20" s="8" t="n">
        <f aca="false">IF(C20=0,"-",E20/ABS(C20))</f>
        <v>-0.103092783505155</v>
      </c>
      <c r="G20" s="9" t="s">
        <v>142</v>
      </c>
      <c r="H20" s="7" t="n">
        <f aca="false">-(B20-D20)</f>
        <v>-50000</v>
      </c>
      <c r="I20" s="8" t="n">
        <f aca="false">IF(D20=0,"-",H20/ABS(D20))</f>
        <v>-0.00943396226415094</v>
      </c>
      <c r="J20" s="13" t="s">
        <v>43</v>
      </c>
    </row>
    <row r="21" customFormat="false" ht="15" hidden="false" customHeight="false" outlineLevel="0" collapsed="false">
      <c r="A21" s="10" t="s">
        <v>48</v>
      </c>
      <c r="B21" s="11" t="n">
        <f aca="false">B16+B17+B18+B19+B20</f>
        <v>66400000</v>
      </c>
      <c r="C21" s="11" t="n">
        <f aca="false">C16+C17+C18+C19+C20</f>
        <v>60175000</v>
      </c>
      <c r="D21" s="11" t="n">
        <f aca="false">D16+D17+D18+D19+D20</f>
        <v>63350000</v>
      </c>
      <c r="E21" s="11" t="n">
        <f aca="false">E16+E17+E18+E19+E20</f>
        <v>-6225000</v>
      </c>
      <c r="F21" s="12"/>
      <c r="G21" s="12"/>
      <c r="H21" s="11" t="n">
        <f aca="false">H16+H17+H18+H19+H20</f>
        <v>-3050000</v>
      </c>
      <c r="I21" s="12"/>
      <c r="J21" s="12"/>
    </row>
    <row r="23" customFormat="false" ht="15" hidden="false" customHeight="false" outlineLevel="0" collapsed="false">
      <c r="A23" s="4" t="s">
        <v>49</v>
      </c>
      <c r="B23" s="4"/>
      <c r="C23" s="4"/>
      <c r="D23" s="4"/>
      <c r="E23" s="4"/>
      <c r="F23" s="4"/>
      <c r="G23" s="4"/>
      <c r="H23" s="4"/>
      <c r="I23" s="4"/>
      <c r="J23" s="4"/>
    </row>
    <row r="24" customFormat="false" ht="23.85" hidden="false" customHeight="false" outlineLevel="0" collapsed="false">
      <c r="A24" s="5" t="s">
        <v>50</v>
      </c>
      <c r="B24" s="6" t="n">
        <v>14000000</v>
      </c>
      <c r="C24" s="6" t="n">
        <v>13000000</v>
      </c>
      <c r="D24" s="6" t="n">
        <v>13500000</v>
      </c>
      <c r="E24" s="7" t="n">
        <f aca="false">-(B24-C24)</f>
        <v>-1000000</v>
      </c>
      <c r="F24" s="8" t="n">
        <f aca="false">IF(C24=0,"-",E24/ABS(C24))</f>
        <v>-0.0769230769230769</v>
      </c>
      <c r="G24" s="9" t="s">
        <v>143</v>
      </c>
      <c r="H24" s="7" t="n">
        <f aca="false">-(B24-D24)</f>
        <v>-500000</v>
      </c>
      <c r="I24" s="8" t="n">
        <f aca="false">IF(D24=0,"-",H24/ABS(D24))</f>
        <v>-0.037037037037037</v>
      </c>
      <c r="J24" s="9" t="s">
        <v>144</v>
      </c>
    </row>
    <row r="25" customFormat="false" ht="23.85" hidden="false" customHeight="false" outlineLevel="0" collapsed="false">
      <c r="A25" s="5" t="s">
        <v>53</v>
      </c>
      <c r="B25" s="6" t="n">
        <v>26000000</v>
      </c>
      <c r="C25" s="6" t="n">
        <v>25000000</v>
      </c>
      <c r="D25" s="6" t="n">
        <v>25600000</v>
      </c>
      <c r="E25" s="7" t="n">
        <f aca="false">-(B25-C25)</f>
        <v>-1000000</v>
      </c>
      <c r="F25" s="8" t="n">
        <f aca="false">IF(C25=0,"-",E25/ABS(C25))</f>
        <v>-0.04</v>
      </c>
      <c r="G25" s="9" t="s">
        <v>145</v>
      </c>
      <c r="H25" s="7" t="n">
        <f aca="false">-(B25-D25)</f>
        <v>-400000</v>
      </c>
      <c r="I25" s="8" t="n">
        <f aca="false">IF(D25=0,"-",H25/ABS(D25))</f>
        <v>-0.015625</v>
      </c>
      <c r="J25" s="13" t="s">
        <v>43</v>
      </c>
    </row>
    <row r="26" customFormat="false" ht="15" hidden="false" customHeight="false" outlineLevel="0" collapsed="false">
      <c r="A26" s="5" t="s">
        <v>55</v>
      </c>
      <c r="B26" s="6" t="n">
        <v>3800000</v>
      </c>
      <c r="C26" s="6" t="n">
        <v>3700000</v>
      </c>
      <c r="D26" s="6" t="n">
        <v>3750000</v>
      </c>
      <c r="E26" s="7" t="n">
        <f aca="false">-(B26-C26)</f>
        <v>-100000</v>
      </c>
      <c r="F26" s="8" t="n">
        <f aca="false">IF(C26=0,"-",E26/ABS(C26))</f>
        <v>-0.027027027027027</v>
      </c>
      <c r="G26" s="13" t="s">
        <v>43</v>
      </c>
      <c r="H26" s="7" t="n">
        <f aca="false">-(B26-D26)</f>
        <v>-50000</v>
      </c>
      <c r="I26" s="8" t="n">
        <f aca="false">IF(D26=0,"-",H26/ABS(D26))</f>
        <v>-0.0133333333333333</v>
      </c>
      <c r="J26" s="13" t="s">
        <v>43</v>
      </c>
    </row>
    <row r="27" customFormat="false" ht="23.85" hidden="false" customHeight="false" outlineLevel="0" collapsed="false">
      <c r="A27" s="5" t="s">
        <v>146</v>
      </c>
      <c r="B27" s="6" t="n">
        <v>4500000</v>
      </c>
      <c r="C27" s="6" t="n">
        <v>4000000</v>
      </c>
      <c r="D27" s="6" t="n">
        <v>4200000</v>
      </c>
      <c r="E27" s="7" t="n">
        <f aca="false">-(B27-C27)</f>
        <v>-500000</v>
      </c>
      <c r="F27" s="8" t="n">
        <f aca="false">IF(C27=0,"-",E27/ABS(C27))</f>
        <v>-0.125</v>
      </c>
      <c r="G27" s="9" t="s">
        <v>147</v>
      </c>
      <c r="H27" s="7" t="n">
        <f aca="false">-(B27-D27)</f>
        <v>-300000</v>
      </c>
      <c r="I27" s="8" t="n">
        <f aca="false">IF(D27=0,"-",H27/ABS(D27))</f>
        <v>-0.0714285714285714</v>
      </c>
      <c r="J27" s="9" t="s">
        <v>148</v>
      </c>
    </row>
    <row r="28" customFormat="false" ht="15" hidden="false" customHeight="false" outlineLevel="0" collapsed="false">
      <c r="A28" s="5" t="s">
        <v>58</v>
      </c>
      <c r="B28" s="6" t="n">
        <v>3800000</v>
      </c>
      <c r="C28" s="6" t="n">
        <v>3600000</v>
      </c>
      <c r="D28" s="6" t="n">
        <v>3700000</v>
      </c>
      <c r="E28" s="7" t="n">
        <f aca="false">-(B28-C28)</f>
        <v>-200000</v>
      </c>
      <c r="F28" s="8" t="n">
        <f aca="false">IF(C28=0,"-",E28/ABS(C28))</f>
        <v>-0.0555555555555556</v>
      </c>
      <c r="G28" s="9" t="s">
        <v>59</v>
      </c>
      <c r="H28" s="7" t="n">
        <f aca="false">-(B28-D28)</f>
        <v>-100000</v>
      </c>
      <c r="I28" s="8" t="n">
        <f aca="false">IF(D28=0,"-",H28/ABS(D28))</f>
        <v>-0.027027027027027</v>
      </c>
      <c r="J28" s="13" t="s">
        <v>43</v>
      </c>
    </row>
    <row r="29" customFormat="false" ht="15" hidden="false" customHeight="false" outlineLevel="0" collapsed="false">
      <c r="A29" s="5" t="s">
        <v>60</v>
      </c>
      <c r="B29" s="6" t="n">
        <v>4200000</v>
      </c>
      <c r="C29" s="6" t="n">
        <v>4200000</v>
      </c>
      <c r="D29" s="6" t="n">
        <v>4200000</v>
      </c>
      <c r="E29" s="7" t="n">
        <f aca="false">-(B29-C29)</f>
        <v>-0</v>
      </c>
      <c r="F29" s="8" t="n">
        <f aca="false">IF(C29=0,"-",E29/ABS(C29))</f>
        <v>-0</v>
      </c>
      <c r="G29" s="13" t="s">
        <v>43</v>
      </c>
      <c r="H29" s="7" t="n">
        <f aca="false">-(B29-D29)</f>
        <v>-0</v>
      </c>
      <c r="I29" s="8" t="n">
        <f aca="false">IF(D29=0,"-",H29/ABS(D29))</f>
        <v>-0</v>
      </c>
      <c r="J29" s="13" t="s">
        <v>43</v>
      </c>
    </row>
    <row r="30" customFormat="false" ht="15" hidden="false" customHeight="false" outlineLevel="0" collapsed="false">
      <c r="A30" s="10" t="s">
        <v>61</v>
      </c>
      <c r="B30" s="11" t="n">
        <f aca="false">B24+B25+B26+B27+B28+B29</f>
        <v>56300000</v>
      </c>
      <c r="C30" s="11" t="n">
        <f aca="false">C24+C25+C26+C27+C28+C29</f>
        <v>53500000</v>
      </c>
      <c r="D30" s="11" t="n">
        <f aca="false">D24+D25+D26+D27+D28+D29</f>
        <v>54950000</v>
      </c>
      <c r="E30" s="11" t="n">
        <f aca="false">E24+E25+E26+E27+E28+E29</f>
        <v>-2800000</v>
      </c>
      <c r="F30" s="12"/>
      <c r="G30" s="12"/>
      <c r="H30" s="11" t="n">
        <f aca="false">H24+H25+H26+H27+H28+H29</f>
        <v>-1350000</v>
      </c>
      <c r="I30" s="12"/>
      <c r="J30" s="12"/>
    </row>
    <row r="32" customFormat="false" ht="15" hidden="false" customHeight="false" outlineLevel="0" collapsed="false">
      <c r="A32" s="14" t="s">
        <v>62</v>
      </c>
      <c r="B32" s="15" t="n">
        <f aca="false">B13-B21</f>
        <v>89600000</v>
      </c>
      <c r="C32" s="15" t="n">
        <f aca="false">C13-C21</f>
        <v>79825000</v>
      </c>
      <c r="D32" s="15" t="n">
        <f aca="false">D13-D21</f>
        <v>85250000</v>
      </c>
      <c r="E32" s="15" t="n">
        <f aca="false">E13-E21</f>
        <v>22225000</v>
      </c>
      <c r="F32" s="16"/>
      <c r="G32" s="16"/>
      <c r="H32" s="15" t="n">
        <f aca="false">H13-H21</f>
        <v>10450000</v>
      </c>
      <c r="I32" s="16"/>
      <c r="J32" s="16"/>
    </row>
    <row r="34" customFormat="false" ht="15" hidden="false" customHeight="false" outlineLevel="0" collapsed="false">
      <c r="A34" s="14" t="s">
        <v>63</v>
      </c>
      <c r="B34" s="15" t="n">
        <f aca="false">B32-B30</f>
        <v>33300000</v>
      </c>
      <c r="C34" s="15" t="n">
        <f aca="false">C32-C30</f>
        <v>26325000</v>
      </c>
      <c r="D34" s="15" t="n">
        <f aca="false">D32-D30</f>
        <v>30300000</v>
      </c>
      <c r="E34" s="15" t="n">
        <f aca="false">E32-E30</f>
        <v>25025000</v>
      </c>
      <c r="F34" s="16"/>
      <c r="G34" s="16"/>
      <c r="H34" s="15" t="n">
        <f aca="false">H32-H30</f>
        <v>11800000</v>
      </c>
      <c r="I34" s="16"/>
      <c r="J34" s="16"/>
    </row>
  </sheetData>
  <mergeCells count="5">
    <mergeCell ref="A1:J1"/>
    <mergeCell ref="A2:J2"/>
    <mergeCell ref="A5:J5"/>
    <mergeCell ref="A15:J15"/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149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120</v>
      </c>
      <c r="B6" s="6" t="n">
        <v>73000000</v>
      </c>
      <c r="C6" s="6" t="n">
        <v>70000000</v>
      </c>
      <c r="D6" s="7" t="n">
        <f aca="false">B6-C6</f>
        <v>3000000</v>
      </c>
      <c r="E6" s="8" t="n">
        <f aca="false">IF(C6=0,"-",D6/ABS(C6))</f>
        <v>0.0428571428571429</v>
      </c>
      <c r="F6" s="9" t="s">
        <v>150</v>
      </c>
    </row>
    <row r="7" customFormat="false" ht="15" hidden="false" customHeight="false" outlineLevel="0" collapsed="false">
      <c r="A7" s="5" t="s">
        <v>123</v>
      </c>
      <c r="B7" s="6" t="n">
        <v>40000000</v>
      </c>
      <c r="C7" s="6" t="n">
        <v>28000000</v>
      </c>
      <c r="D7" s="7" t="n">
        <f aca="false">B7-C7</f>
        <v>12000000</v>
      </c>
      <c r="E7" s="8" t="n">
        <f aca="false">IF(C7=0,"-",D7/ABS(C7))</f>
        <v>0.428571428571429</v>
      </c>
      <c r="F7" s="9" t="s">
        <v>151</v>
      </c>
    </row>
    <row r="8" customFormat="false" ht="15" hidden="false" customHeight="false" outlineLevel="0" collapsed="false">
      <c r="A8" s="5" t="s">
        <v>126</v>
      </c>
      <c r="B8" s="6" t="n">
        <v>60000000</v>
      </c>
      <c r="C8" s="6" t="n">
        <v>55000000</v>
      </c>
      <c r="D8" s="7" t="n">
        <f aca="false">B8-C8</f>
        <v>5000000</v>
      </c>
      <c r="E8" s="8" t="n">
        <f aca="false">IF(C8=0,"-",D8/ABS(C8))</f>
        <v>0.0909090909090909</v>
      </c>
      <c r="F8" s="9" t="s">
        <v>152</v>
      </c>
    </row>
    <row r="9" customFormat="false" ht="15" hidden="false" customHeight="false" outlineLevel="0" collapsed="false">
      <c r="A9" s="5" t="s">
        <v>129</v>
      </c>
      <c r="B9" s="6" t="n">
        <v>28000000</v>
      </c>
      <c r="C9" s="6" t="n">
        <v>25000000</v>
      </c>
      <c r="D9" s="7" t="n">
        <f aca="false">B9-C9</f>
        <v>3000000</v>
      </c>
      <c r="E9" s="8" t="n">
        <f aca="false">IF(C9=0,"-",D9/ABS(C9))</f>
        <v>0.12</v>
      </c>
      <c r="F9" s="9" t="s">
        <v>153</v>
      </c>
    </row>
    <row r="10" customFormat="false" ht="15" hidden="false" customHeight="false" outlineLevel="0" collapsed="false">
      <c r="A10" s="5" t="s">
        <v>132</v>
      </c>
      <c r="B10" s="6" t="n">
        <v>22000000</v>
      </c>
      <c r="C10" s="6" t="n">
        <v>16000000</v>
      </c>
      <c r="D10" s="7" t="n">
        <f aca="false">B10-C10</f>
        <v>6000000</v>
      </c>
      <c r="E10" s="8" t="n">
        <f aca="false">IF(C10=0,"-",D10/ABS(C10))</f>
        <v>0.375</v>
      </c>
      <c r="F10" s="9" t="s">
        <v>154</v>
      </c>
    </row>
    <row r="11" customFormat="false" ht="15" hidden="false" customHeight="false" outlineLevel="0" collapsed="false">
      <c r="A11" s="5" t="s">
        <v>28</v>
      </c>
      <c r="B11" s="6" t="n">
        <v>55500000</v>
      </c>
      <c r="C11" s="6" t="n">
        <v>54800000</v>
      </c>
      <c r="D11" s="7" t="n">
        <f aca="false">B11-C11</f>
        <v>700000</v>
      </c>
      <c r="E11" s="8" t="n">
        <f aca="false">IF(C11=0,"-",D11/ABS(C11))</f>
        <v>0.0127737226277372</v>
      </c>
      <c r="F11" s="9" t="s">
        <v>59</v>
      </c>
    </row>
    <row r="12" customFormat="false" ht="15" hidden="false" customHeight="false" outlineLevel="0" collapsed="false">
      <c r="A12" s="5" t="s">
        <v>31</v>
      </c>
      <c r="B12" s="6" t="n">
        <v>17500000</v>
      </c>
      <c r="C12" s="6" t="n">
        <v>16800000</v>
      </c>
      <c r="D12" s="7" t="n">
        <f aca="false">B12-C12</f>
        <v>700000</v>
      </c>
      <c r="E12" s="8" t="n">
        <f aca="false">IF(C12=0,"-",D12/ABS(C12))</f>
        <v>0.0416666666666667</v>
      </c>
      <c r="F12" s="9" t="s">
        <v>155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296000000</v>
      </c>
      <c r="C13" s="11" t="n">
        <f aca="false">C6+C7+C8+C9+C10+C11+C12</f>
        <v>265600000</v>
      </c>
      <c r="D13" s="11" t="n">
        <f aca="false">D6+D7+D8+D9+D10+D11+D12</f>
        <v>30400000</v>
      </c>
      <c r="E13" s="12"/>
      <c r="F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5" t="s">
        <v>136</v>
      </c>
      <c r="B16" s="6" t="n">
        <v>80500000</v>
      </c>
      <c r="C16" s="6" t="n">
        <v>73800000</v>
      </c>
      <c r="D16" s="7" t="n">
        <f aca="false">-(B16-C16)</f>
        <v>-6700000</v>
      </c>
      <c r="E16" s="8" t="n">
        <f aca="false">IF(C16=0,"-",D16/ABS(C16))</f>
        <v>-0.0907859078590786</v>
      </c>
      <c r="F16" s="9" t="s">
        <v>156</v>
      </c>
    </row>
    <row r="17" customFormat="false" ht="15" hidden="false" customHeight="false" outlineLevel="0" collapsed="false">
      <c r="A17" s="5" t="s">
        <v>139</v>
      </c>
      <c r="B17" s="6" t="n">
        <v>9700000</v>
      </c>
      <c r="C17" s="6" t="n">
        <v>8500000</v>
      </c>
      <c r="D17" s="7" t="n">
        <f aca="false">-(B17-C17)</f>
        <v>-1200000</v>
      </c>
      <c r="E17" s="8" t="n">
        <f aca="false">IF(C17=0,"-",D17/ABS(C17))</f>
        <v>-0.141176470588235</v>
      </c>
      <c r="F17" s="9" t="s">
        <v>157</v>
      </c>
    </row>
    <row r="18" customFormat="false" ht="15" hidden="false" customHeight="false" outlineLevel="0" collapsed="false">
      <c r="A18" s="5" t="s">
        <v>42</v>
      </c>
      <c r="B18" s="6" t="n">
        <v>13875000</v>
      </c>
      <c r="C18" s="6" t="n">
        <v>13700000</v>
      </c>
      <c r="D18" s="7" t="n">
        <f aca="false">-(B18-C18)</f>
        <v>-175000</v>
      </c>
      <c r="E18" s="8" t="n">
        <f aca="false">IF(C18=0,"-",D18/ABS(C18))</f>
        <v>-0.0127737226277372</v>
      </c>
      <c r="F18" s="13" t="s">
        <v>43</v>
      </c>
    </row>
    <row r="19" customFormat="false" ht="15" hidden="false" customHeight="false" outlineLevel="0" collapsed="false">
      <c r="A19" s="5" t="s">
        <v>44</v>
      </c>
      <c r="B19" s="6" t="n">
        <v>12300000</v>
      </c>
      <c r="C19" s="6" t="n">
        <v>11750000</v>
      </c>
      <c r="D19" s="7" t="n">
        <f aca="false">-(B19-C19)</f>
        <v>-550000</v>
      </c>
      <c r="E19" s="8" t="n">
        <f aca="false">IF(C19=0,"-",D19/ABS(C19))</f>
        <v>-0.0468085106382979</v>
      </c>
      <c r="F19" s="9" t="s">
        <v>158</v>
      </c>
    </row>
    <row r="20" customFormat="false" ht="15" hidden="false" customHeight="false" outlineLevel="0" collapsed="false">
      <c r="A20" s="5" t="s">
        <v>46</v>
      </c>
      <c r="B20" s="6" t="n">
        <v>10200000</v>
      </c>
      <c r="C20" s="6" t="n">
        <v>9900000</v>
      </c>
      <c r="D20" s="7" t="n">
        <f aca="false">-(B20-C20)</f>
        <v>-300000</v>
      </c>
      <c r="E20" s="8" t="n">
        <f aca="false">IF(C20=0,"-",D20/ABS(C20))</f>
        <v>-0.0303030303030303</v>
      </c>
      <c r="F20" s="13" t="s">
        <v>43</v>
      </c>
    </row>
    <row r="21" customFormat="false" ht="15" hidden="false" customHeight="false" outlineLevel="0" collapsed="false">
      <c r="A21" s="10" t="s">
        <v>48</v>
      </c>
      <c r="B21" s="11" t="n">
        <f aca="false">B16+B17+B18+B19+B20</f>
        <v>126575000</v>
      </c>
      <c r="C21" s="11" t="n">
        <f aca="false">C16+C17+C18+C19+C20</f>
        <v>117650000</v>
      </c>
      <c r="D21" s="11" t="n">
        <f aca="false">D16+D17+D18+D19+D20</f>
        <v>-8925000</v>
      </c>
      <c r="E21" s="12"/>
      <c r="F21" s="12"/>
    </row>
    <row r="23" customFormat="false" ht="15" hidden="false" customHeight="false" outlineLevel="0" collapsed="false">
      <c r="A23" s="4" t="s">
        <v>49</v>
      </c>
      <c r="B23" s="4"/>
      <c r="C23" s="4"/>
      <c r="D23" s="4"/>
      <c r="E23" s="4"/>
      <c r="F23" s="4"/>
    </row>
    <row r="24" customFormat="false" ht="15" hidden="false" customHeight="false" outlineLevel="0" collapsed="false">
      <c r="A24" s="5" t="s">
        <v>50</v>
      </c>
      <c r="B24" s="6" t="n">
        <v>27000000</v>
      </c>
      <c r="C24" s="6" t="n">
        <v>25500000</v>
      </c>
      <c r="D24" s="7" t="n">
        <f aca="false">-(B24-C24)</f>
        <v>-1500000</v>
      </c>
      <c r="E24" s="8" t="n">
        <f aca="false">IF(C24=0,"-",D24/ABS(C24))</f>
        <v>-0.0588235294117647</v>
      </c>
      <c r="F24" s="9" t="s">
        <v>159</v>
      </c>
    </row>
    <row r="25" customFormat="false" ht="15" hidden="false" customHeight="false" outlineLevel="0" collapsed="false">
      <c r="A25" s="5" t="s">
        <v>53</v>
      </c>
      <c r="B25" s="6" t="n">
        <v>51000000</v>
      </c>
      <c r="C25" s="6" t="n">
        <v>49600000</v>
      </c>
      <c r="D25" s="7" t="n">
        <f aca="false">-(B25-C25)</f>
        <v>-1400000</v>
      </c>
      <c r="E25" s="8" t="n">
        <f aca="false">IF(C25=0,"-",D25/ABS(C25))</f>
        <v>-0.0282258064516129</v>
      </c>
      <c r="F25" s="9" t="s">
        <v>160</v>
      </c>
    </row>
    <row r="26" customFormat="false" ht="15" hidden="false" customHeight="false" outlineLevel="0" collapsed="false">
      <c r="A26" s="5" t="s">
        <v>55</v>
      </c>
      <c r="B26" s="6" t="n">
        <v>7500000</v>
      </c>
      <c r="C26" s="6" t="n">
        <v>7350000</v>
      </c>
      <c r="D26" s="7" t="n">
        <f aca="false">-(B26-C26)</f>
        <v>-150000</v>
      </c>
      <c r="E26" s="8" t="n">
        <f aca="false">IF(C26=0,"-",D26/ABS(C26))</f>
        <v>-0.0204081632653061</v>
      </c>
      <c r="F26" s="13" t="s">
        <v>43</v>
      </c>
    </row>
    <row r="27" customFormat="false" ht="15" hidden="false" customHeight="false" outlineLevel="0" collapsed="false">
      <c r="A27" s="5" t="s">
        <v>146</v>
      </c>
      <c r="B27" s="6" t="n">
        <v>8500000</v>
      </c>
      <c r="C27" s="6" t="n">
        <v>7700000</v>
      </c>
      <c r="D27" s="7" t="n">
        <f aca="false">-(B27-C27)</f>
        <v>-800000</v>
      </c>
      <c r="E27" s="8" t="n">
        <f aca="false">IF(C27=0,"-",D27/ABS(C27))</f>
        <v>-0.103896103896104</v>
      </c>
      <c r="F27" s="9" t="s">
        <v>161</v>
      </c>
    </row>
    <row r="28" customFormat="false" ht="15" hidden="false" customHeight="false" outlineLevel="0" collapsed="false">
      <c r="A28" s="5" t="s">
        <v>58</v>
      </c>
      <c r="B28" s="6" t="n">
        <v>7400000</v>
      </c>
      <c r="C28" s="6" t="n">
        <v>7100000</v>
      </c>
      <c r="D28" s="7" t="n">
        <f aca="false">-(B28-C28)</f>
        <v>-300000</v>
      </c>
      <c r="E28" s="8" t="n">
        <f aca="false">IF(C28=0,"-",D28/ABS(C28))</f>
        <v>-0.0422535211267606</v>
      </c>
      <c r="F28" s="13" t="s">
        <v>43</v>
      </c>
    </row>
    <row r="29" customFormat="false" ht="15" hidden="false" customHeight="false" outlineLevel="0" collapsed="false">
      <c r="A29" s="5" t="s">
        <v>60</v>
      </c>
      <c r="B29" s="6" t="n">
        <v>8400000</v>
      </c>
      <c r="C29" s="6" t="n">
        <v>8400000</v>
      </c>
      <c r="D29" s="7" t="n">
        <f aca="false">-(B29-C29)</f>
        <v>-0</v>
      </c>
      <c r="E29" s="8" t="n">
        <f aca="false">IF(C29=0,"-",D29/ABS(C29))</f>
        <v>-0</v>
      </c>
      <c r="F29" s="13" t="s">
        <v>43</v>
      </c>
    </row>
    <row r="30" customFormat="false" ht="15" hidden="false" customHeight="false" outlineLevel="0" collapsed="false">
      <c r="A30" s="10" t="s">
        <v>61</v>
      </c>
      <c r="B30" s="11" t="n">
        <f aca="false">B24+B25+B26+B27+B28+B29</f>
        <v>109800000</v>
      </c>
      <c r="C30" s="11" t="n">
        <f aca="false">C24+C25+C26+C27+C28+C29</f>
        <v>105650000</v>
      </c>
      <c r="D30" s="11" t="n">
        <f aca="false">D24+D25+D26+D27+D28+D29</f>
        <v>-4150000</v>
      </c>
      <c r="E30" s="12"/>
      <c r="F30" s="12"/>
    </row>
    <row r="32" customFormat="false" ht="15" hidden="false" customHeight="false" outlineLevel="0" collapsed="false">
      <c r="A32" s="14" t="s">
        <v>62</v>
      </c>
      <c r="B32" s="15" t="n">
        <f aca="false">B13-B21</f>
        <v>169425000</v>
      </c>
      <c r="C32" s="15" t="n">
        <f aca="false">C13-C21</f>
        <v>147950000</v>
      </c>
      <c r="D32" s="15" t="n">
        <f aca="false">D13-D21</f>
        <v>39325000</v>
      </c>
      <c r="E32" s="16"/>
      <c r="F32" s="16"/>
    </row>
    <row r="34" customFormat="false" ht="15" hidden="false" customHeight="false" outlineLevel="0" collapsed="false">
      <c r="A34" s="14" t="s">
        <v>63</v>
      </c>
      <c r="B34" s="15" t="n">
        <f aca="false">B32-B30</f>
        <v>59625000</v>
      </c>
      <c r="C34" s="15" t="n">
        <f aca="false">C32-C30</f>
        <v>42300000</v>
      </c>
      <c r="D34" s="15" t="n">
        <f aca="false">D32-D30</f>
        <v>43475000</v>
      </c>
      <c r="E34" s="16"/>
      <c r="F34" s="16"/>
    </row>
  </sheetData>
  <mergeCells count="5">
    <mergeCell ref="A1:F1"/>
    <mergeCell ref="A2:F2"/>
    <mergeCell ref="A5:F5"/>
    <mergeCell ref="A15:F15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162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91</v>
      </c>
      <c r="B5" s="4"/>
      <c r="C5" s="4"/>
      <c r="D5" s="4"/>
      <c r="E5" s="4"/>
      <c r="F5" s="4"/>
    </row>
    <row r="6" customFormat="false" ht="23.85" hidden="false" customHeight="false" outlineLevel="0" collapsed="false">
      <c r="A6" s="5" t="s">
        <v>92</v>
      </c>
      <c r="B6" s="6" t="n">
        <v>35000000</v>
      </c>
      <c r="C6" s="6" t="n">
        <v>30000000</v>
      </c>
      <c r="D6" s="7" t="n">
        <f aca="false">B6-C6</f>
        <v>5000000</v>
      </c>
      <c r="E6" s="8" t="n">
        <f aca="false">IF(C6=0,"-",D6/ABS(C6))</f>
        <v>0.166666666666667</v>
      </c>
      <c r="F6" s="9" t="s">
        <v>163</v>
      </c>
    </row>
    <row r="7" customFormat="false" ht="15" hidden="false" customHeight="false" outlineLevel="0" collapsed="false">
      <c r="A7" s="5" t="s">
        <v>94</v>
      </c>
      <c r="B7" s="6" t="n">
        <v>-1200000</v>
      </c>
      <c r="C7" s="6" t="n">
        <v>-1000000</v>
      </c>
      <c r="D7" s="7" t="n">
        <f aca="false">B7-C7</f>
        <v>-200000</v>
      </c>
      <c r="E7" s="8" t="n">
        <f aca="false">IF(C7=0,"-",D7/ABS(C7))</f>
        <v>-0.2</v>
      </c>
      <c r="F7" s="9" t="s">
        <v>164</v>
      </c>
    </row>
    <row r="8" customFormat="false" ht="23.85" hidden="false" customHeight="false" outlineLevel="0" collapsed="false">
      <c r="A8" s="5" t="s">
        <v>96</v>
      </c>
      <c r="B8" s="6" t="n">
        <v>6800000</v>
      </c>
      <c r="C8" s="6" t="n">
        <v>5500000</v>
      </c>
      <c r="D8" s="7" t="n">
        <f aca="false">B8-C8</f>
        <v>1300000</v>
      </c>
      <c r="E8" s="8" t="n">
        <f aca="false">IF(C8=0,"-",D8/ABS(C8))</f>
        <v>0.236363636363636</v>
      </c>
      <c r="F8" s="9" t="s">
        <v>165</v>
      </c>
    </row>
    <row r="9" customFormat="false" ht="23.85" hidden="false" customHeight="false" outlineLevel="0" collapsed="false">
      <c r="A9" s="5" t="s">
        <v>98</v>
      </c>
      <c r="B9" s="6" t="n">
        <v>28700000</v>
      </c>
      <c r="C9" s="6" t="n">
        <v>25300000</v>
      </c>
      <c r="D9" s="7" t="n">
        <f aca="false">B9-C9</f>
        <v>3400000</v>
      </c>
      <c r="E9" s="8" t="n">
        <f aca="false">IF(C9=0,"-",D9/ABS(C9))</f>
        <v>0.134387351778656</v>
      </c>
      <c r="F9" s="9" t="s">
        <v>166</v>
      </c>
    </row>
    <row r="10" customFormat="false" ht="23.85" hidden="false" customHeight="false" outlineLevel="0" collapsed="false">
      <c r="A10" s="5" t="s">
        <v>167</v>
      </c>
      <c r="B10" s="6" t="n">
        <v>22000000</v>
      </c>
      <c r="C10" s="6" t="n">
        <v>20000000</v>
      </c>
      <c r="D10" s="7" t="n">
        <f aca="false">B10-C10</f>
        <v>2000000</v>
      </c>
      <c r="E10" s="8" t="n">
        <f aca="false">IF(C10=0,"-",D10/ABS(C10))</f>
        <v>0.1</v>
      </c>
      <c r="F10" s="9" t="s">
        <v>168</v>
      </c>
    </row>
    <row r="11" customFormat="false" ht="23.85" hidden="false" customHeight="false" outlineLevel="0" collapsed="false">
      <c r="A11" s="5" t="s">
        <v>169</v>
      </c>
      <c r="B11" s="6" t="n">
        <v>28000000</v>
      </c>
      <c r="C11" s="6" t="n">
        <v>30000000</v>
      </c>
      <c r="D11" s="7" t="n">
        <f aca="false">B11-C11</f>
        <v>-2000000</v>
      </c>
      <c r="E11" s="8" t="n">
        <f aca="false">IF(C11=0,"-",D11/ABS(C11))</f>
        <v>-0.0666666666666667</v>
      </c>
      <c r="F11" s="9" t="s">
        <v>170</v>
      </c>
    </row>
    <row r="12" customFormat="false" ht="15" hidden="false" customHeight="false" outlineLevel="0" collapsed="false">
      <c r="A12" s="5" t="s">
        <v>104</v>
      </c>
      <c r="B12" s="6" t="n">
        <v>3500000</v>
      </c>
      <c r="C12" s="6" t="n">
        <v>3000000</v>
      </c>
      <c r="D12" s="7" t="n">
        <f aca="false">B12-C12</f>
        <v>500000</v>
      </c>
      <c r="E12" s="8" t="n">
        <f aca="false">IF(C12=0,"-",D12/ABS(C12))</f>
        <v>0.166666666666667</v>
      </c>
      <c r="F12" s="9" t="s">
        <v>171</v>
      </c>
    </row>
    <row r="13" customFormat="false" ht="15" hidden="false" customHeight="false" outlineLevel="0" collapsed="false">
      <c r="A13" s="10" t="s">
        <v>106</v>
      </c>
      <c r="B13" s="11" t="n">
        <f aca="false">B6+B7+B8+B9+B10+B11+B12</f>
        <v>122800000</v>
      </c>
      <c r="C13" s="11" t="n">
        <f aca="false">C6+C7+C8+C9+C10+C11+C12</f>
        <v>112800000</v>
      </c>
      <c r="D13" s="11" t="n">
        <f aca="false">D6+D7+D8+D9+D10+D11+D12</f>
        <v>10000000</v>
      </c>
      <c r="E13" s="12"/>
      <c r="F13" s="12"/>
    </row>
    <row r="14" customFormat="false" ht="15" hidden="false" customHeight="false" outlineLevel="0" collapsed="false">
      <c r="A14" s="4" t="s">
        <v>107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5" t="s">
        <v>108</v>
      </c>
      <c r="B15" s="6" t="n">
        <v>25000000</v>
      </c>
      <c r="C15" s="6" t="n">
        <v>22000000</v>
      </c>
      <c r="D15" s="7" t="n">
        <f aca="false">B15-C15</f>
        <v>3000000</v>
      </c>
      <c r="E15" s="8" t="n">
        <f aca="false">IF(C15=0,"-",D15/ABS(C15))</f>
        <v>0.136363636363636</v>
      </c>
      <c r="F15" s="9" t="s">
        <v>172</v>
      </c>
    </row>
    <row r="16" customFormat="false" ht="15" hidden="false" customHeight="false" outlineLevel="0" collapsed="false">
      <c r="A16" s="5" t="s">
        <v>110</v>
      </c>
      <c r="B16" s="6" t="n">
        <v>11000000</v>
      </c>
      <c r="C16" s="6" t="n">
        <v>9500000</v>
      </c>
      <c r="D16" s="7" t="n">
        <f aca="false">B16-C16</f>
        <v>1500000</v>
      </c>
      <c r="E16" s="8" t="n">
        <f aca="false">IF(C16=0,"-",D16/ABS(C16))</f>
        <v>0.157894736842105</v>
      </c>
      <c r="F16" s="9" t="s">
        <v>173</v>
      </c>
    </row>
    <row r="17" customFormat="false" ht="15" hidden="false" customHeight="false" outlineLevel="0" collapsed="false">
      <c r="A17" s="5" t="s">
        <v>112</v>
      </c>
      <c r="B17" s="6" t="n">
        <v>4500000</v>
      </c>
      <c r="C17" s="6" t="n">
        <v>4200000</v>
      </c>
      <c r="D17" s="7" t="n">
        <f aca="false">B17-C17</f>
        <v>300000</v>
      </c>
      <c r="E17" s="8" t="n">
        <f aca="false">IF(C17=0,"-",D17/ABS(C17))</f>
        <v>0.0714285714285714</v>
      </c>
      <c r="F17" s="9" t="s">
        <v>174</v>
      </c>
    </row>
    <row r="18" customFormat="false" ht="15" hidden="false" customHeight="false" outlineLevel="0" collapsed="false">
      <c r="A18" s="5" t="s">
        <v>116</v>
      </c>
      <c r="B18" s="6" t="n">
        <v>8000000</v>
      </c>
      <c r="C18" s="6" t="n">
        <v>6500000</v>
      </c>
      <c r="D18" s="7" t="n">
        <f aca="false">B18-C18</f>
        <v>1500000</v>
      </c>
      <c r="E18" s="8" t="n">
        <f aca="false">IF(C18=0,"-",D18/ABS(C18))</f>
        <v>0.230769230769231</v>
      </c>
      <c r="F18" s="9" t="s">
        <v>175</v>
      </c>
    </row>
    <row r="19" customFormat="false" ht="23.85" hidden="false" customHeight="false" outlineLevel="0" collapsed="false">
      <c r="A19" s="5" t="s">
        <v>176</v>
      </c>
      <c r="B19" s="6" t="n">
        <v>3200000</v>
      </c>
      <c r="C19" s="6" t="n">
        <v>4000000</v>
      </c>
      <c r="D19" s="7" t="n">
        <f aca="false">B19-C19</f>
        <v>-800000</v>
      </c>
      <c r="E19" s="8" t="n">
        <f aca="false">IF(C19=0,"-",D19/ABS(C19))</f>
        <v>-0.2</v>
      </c>
      <c r="F19" s="9" t="s">
        <v>177</v>
      </c>
    </row>
    <row r="20" customFormat="false" ht="15" hidden="false" customHeight="false" outlineLevel="0" collapsed="false">
      <c r="A20" s="10" t="s">
        <v>118</v>
      </c>
      <c r="B20" s="11" t="n">
        <f aca="false">B15+B16+B17+B18+B19</f>
        <v>51700000</v>
      </c>
      <c r="C20" s="11" t="n">
        <f aca="false">C15+C16+C17+C18+C19</f>
        <v>46200000</v>
      </c>
      <c r="D20" s="11" t="n">
        <f aca="false">D15+D16+D17+D18+D19</f>
        <v>5500000</v>
      </c>
      <c r="E20" s="12"/>
      <c r="F20" s="12"/>
    </row>
  </sheetData>
  <mergeCells count="4">
    <mergeCell ref="A1:F1"/>
    <mergeCell ref="A2:F2"/>
    <mergeCell ref="A5:F5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23.85" hidden="false" customHeight="false" outlineLevel="0" collapsed="false">
      <c r="A6" s="5" t="s">
        <v>179</v>
      </c>
      <c r="B6" s="6" t="n">
        <v>15000000</v>
      </c>
      <c r="C6" s="6" t="n">
        <v>14000000</v>
      </c>
      <c r="D6" s="6" t="n">
        <v>14500000</v>
      </c>
      <c r="E6" s="7" t="n">
        <f aca="false">B6-C6</f>
        <v>1000000</v>
      </c>
      <c r="F6" s="8" t="n">
        <f aca="false">IF(C6=0,"-",E6/ABS(C6))</f>
        <v>0.0714285714285714</v>
      </c>
      <c r="G6" s="9" t="s">
        <v>180</v>
      </c>
      <c r="H6" s="7" t="n">
        <f aca="false">B6-D6</f>
        <v>500000</v>
      </c>
      <c r="I6" s="8" t="n">
        <f aca="false">IF(D6=0,"-",H6/ABS(D6))</f>
        <v>0.0344827586206897</v>
      </c>
      <c r="J6" s="9" t="s">
        <v>181</v>
      </c>
    </row>
    <row r="7" customFormat="false" ht="15" hidden="false" customHeight="false" outlineLevel="0" collapsed="false">
      <c r="A7" s="5" t="s">
        <v>182</v>
      </c>
      <c r="B7" s="6" t="n">
        <v>6000000</v>
      </c>
      <c r="C7" s="6" t="n">
        <v>5500000</v>
      </c>
      <c r="D7" s="6" t="n">
        <v>5800000</v>
      </c>
      <c r="E7" s="7" t="n">
        <f aca="false">B7-C7</f>
        <v>500000</v>
      </c>
      <c r="F7" s="8" t="n">
        <f aca="false">IF(C7=0,"-",E7/ABS(C7))</f>
        <v>0.0909090909090909</v>
      </c>
      <c r="G7" s="9" t="s">
        <v>183</v>
      </c>
      <c r="H7" s="7" t="n">
        <f aca="false">B7-D7</f>
        <v>200000</v>
      </c>
      <c r="I7" s="8" t="n">
        <f aca="false">IF(D7=0,"-",H7/ABS(D7))</f>
        <v>0.0344827586206897</v>
      </c>
      <c r="J7" s="13" t="s">
        <v>43</v>
      </c>
    </row>
    <row r="8" customFormat="false" ht="23.85" hidden="false" customHeight="false" outlineLevel="0" collapsed="false">
      <c r="A8" s="5" t="s">
        <v>184</v>
      </c>
      <c r="B8" s="6" t="n">
        <v>18000000</v>
      </c>
      <c r="C8" s="6" t="n">
        <v>15500000</v>
      </c>
      <c r="D8" s="6" t="n">
        <v>16000000</v>
      </c>
      <c r="E8" s="7" t="n">
        <f aca="false">B8-C8</f>
        <v>2500000</v>
      </c>
      <c r="F8" s="8" t="n">
        <f aca="false">IF(C8=0,"-",E8/ABS(C8))</f>
        <v>0.161290322580645</v>
      </c>
      <c r="G8" s="9" t="s">
        <v>185</v>
      </c>
      <c r="H8" s="7" t="n">
        <f aca="false">B8-D8</f>
        <v>2000000</v>
      </c>
      <c r="I8" s="8" t="n">
        <f aca="false">IF(D8=0,"-",H8/ABS(D8))</f>
        <v>0.125</v>
      </c>
      <c r="J8" s="9" t="s">
        <v>186</v>
      </c>
    </row>
    <row r="9" customFormat="false" ht="23.85" hidden="false" customHeight="false" outlineLevel="0" collapsed="false">
      <c r="A9" s="5" t="s">
        <v>187</v>
      </c>
      <c r="B9" s="6" t="n">
        <v>10000000</v>
      </c>
      <c r="C9" s="6" t="n">
        <v>8000000</v>
      </c>
      <c r="D9" s="6" t="n">
        <v>9000000</v>
      </c>
      <c r="E9" s="7" t="n">
        <f aca="false">B9-C9</f>
        <v>2000000</v>
      </c>
      <c r="F9" s="8" t="n">
        <f aca="false">IF(C9=0,"-",E9/ABS(C9))</f>
        <v>0.25</v>
      </c>
      <c r="G9" s="9" t="s">
        <v>188</v>
      </c>
      <c r="H9" s="7" t="n">
        <f aca="false">B9-D9</f>
        <v>1000000</v>
      </c>
      <c r="I9" s="8" t="n">
        <f aca="false">IF(D9=0,"-",H9/ABS(D9))</f>
        <v>0.111111111111111</v>
      </c>
      <c r="J9" s="9" t="s">
        <v>189</v>
      </c>
    </row>
    <row r="10" customFormat="false" ht="23.85" hidden="false" customHeight="false" outlineLevel="0" collapsed="false">
      <c r="A10" s="5" t="s">
        <v>190</v>
      </c>
      <c r="B10" s="6" t="n">
        <v>7000000</v>
      </c>
      <c r="C10" s="6" t="n">
        <v>6000000</v>
      </c>
      <c r="D10" s="6" t="n">
        <v>6500000</v>
      </c>
      <c r="E10" s="7" t="n">
        <f aca="false">B10-C10</f>
        <v>1000000</v>
      </c>
      <c r="F10" s="8" t="n">
        <f aca="false">IF(C10=0,"-",E10/ABS(C10))</f>
        <v>0.166666666666667</v>
      </c>
      <c r="G10" s="9" t="s">
        <v>191</v>
      </c>
      <c r="H10" s="7" t="n">
        <f aca="false">B10-D10</f>
        <v>500000</v>
      </c>
      <c r="I10" s="8" t="n">
        <f aca="false">IF(D10=0,"-",H10/ABS(D10))</f>
        <v>0.0769230769230769</v>
      </c>
      <c r="J10" s="9" t="s">
        <v>192</v>
      </c>
    </row>
    <row r="11" customFormat="false" ht="15" hidden="false" customHeight="false" outlineLevel="0" collapsed="false">
      <c r="A11" s="5" t="s">
        <v>28</v>
      </c>
      <c r="B11" s="6" t="n">
        <v>9000000</v>
      </c>
      <c r="C11" s="6" t="n">
        <v>8800000</v>
      </c>
      <c r="D11" s="6" t="n">
        <v>8900000</v>
      </c>
      <c r="E11" s="7" t="n">
        <f aca="false">B11-C11</f>
        <v>200000</v>
      </c>
      <c r="F11" s="8" t="n">
        <f aca="false">IF(C11=0,"-",E11/ABS(C11))</f>
        <v>0.0227272727272727</v>
      </c>
      <c r="G11" s="13" t="s">
        <v>43</v>
      </c>
      <c r="H11" s="7" t="n">
        <f aca="false">B11-D11</f>
        <v>100000</v>
      </c>
      <c r="I11" s="8" t="n">
        <f aca="false">IF(D11=0,"-",H11/ABS(D11))</f>
        <v>0.0112359550561798</v>
      </c>
      <c r="J11" s="13" t="s">
        <v>43</v>
      </c>
    </row>
    <row r="12" customFormat="false" ht="15" hidden="false" customHeight="false" outlineLevel="0" collapsed="false">
      <c r="A12" s="5" t="s">
        <v>193</v>
      </c>
      <c r="B12" s="6" t="n">
        <v>4000000</v>
      </c>
      <c r="C12" s="6" t="n">
        <v>3500000</v>
      </c>
      <c r="D12" s="6" t="n">
        <v>3800000</v>
      </c>
      <c r="E12" s="7" t="n">
        <f aca="false">B12-C12</f>
        <v>500000</v>
      </c>
      <c r="F12" s="8" t="n">
        <f aca="false">IF(C12=0,"-",E12/ABS(C12))</f>
        <v>0.142857142857143</v>
      </c>
      <c r="G12" s="9" t="s">
        <v>194</v>
      </c>
      <c r="H12" s="7" t="n">
        <f aca="false">B12-D12</f>
        <v>200000</v>
      </c>
      <c r="I12" s="8" t="n">
        <f aca="false">IF(D12=0,"-",H12/ABS(D12))</f>
        <v>0.0526315789473684</v>
      </c>
      <c r="J12" s="9" t="s">
        <v>59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69000000</v>
      </c>
      <c r="C13" s="11" t="n">
        <f aca="false">C6+C7+C8+C9+C10+C11+C12</f>
        <v>61300000</v>
      </c>
      <c r="D13" s="11" t="n">
        <f aca="false">D6+D7+D8+D9+D10+D11+D12</f>
        <v>64500000</v>
      </c>
      <c r="E13" s="11" t="n">
        <f aca="false">E6+E7+E8+E9+E10+E11+E12</f>
        <v>7700000</v>
      </c>
      <c r="F13" s="12"/>
      <c r="G13" s="12"/>
      <c r="H13" s="11" t="n">
        <f aca="false">H6+H7+H8+H9+H10+H11+H12</f>
        <v>4500000</v>
      </c>
      <c r="I13" s="12"/>
      <c r="J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  <c r="G15" s="4"/>
      <c r="H15" s="4"/>
      <c r="I15" s="4"/>
      <c r="J15" s="4"/>
    </row>
    <row r="16" customFormat="false" ht="23.85" hidden="false" customHeight="false" outlineLevel="0" collapsed="false">
      <c r="A16" s="5" t="s">
        <v>195</v>
      </c>
      <c r="B16" s="6" t="n">
        <v>7650000</v>
      </c>
      <c r="C16" s="6" t="n">
        <v>7250000</v>
      </c>
      <c r="D16" s="6" t="n">
        <v>7375000</v>
      </c>
      <c r="E16" s="7" t="n">
        <f aca="false">-(B16-C16)</f>
        <v>-400000</v>
      </c>
      <c r="F16" s="8" t="n">
        <f aca="false">IF(C16=0,"-",E16/ABS(C16))</f>
        <v>-0.0551724137931035</v>
      </c>
      <c r="G16" s="9" t="s">
        <v>196</v>
      </c>
      <c r="H16" s="7" t="n">
        <f aca="false">-(B16-D16)</f>
        <v>-275000</v>
      </c>
      <c r="I16" s="8" t="n">
        <f aca="false">IF(D16=0,"-",H16/ABS(D16))</f>
        <v>-0.0372881355932203</v>
      </c>
      <c r="J16" s="13" t="s">
        <v>43</v>
      </c>
    </row>
    <row r="17" customFormat="false" ht="23.85" hidden="false" customHeight="false" outlineLevel="0" collapsed="false">
      <c r="A17" s="5" t="s">
        <v>197</v>
      </c>
      <c r="B17" s="6" t="n">
        <v>5200000</v>
      </c>
      <c r="C17" s="6" t="n">
        <v>4325000</v>
      </c>
      <c r="D17" s="6" t="n">
        <v>4650000</v>
      </c>
      <c r="E17" s="7" t="n">
        <f aca="false">-(B17-C17)</f>
        <v>-875000</v>
      </c>
      <c r="F17" s="8" t="n">
        <f aca="false">IF(C17=0,"-",E17/ABS(C17))</f>
        <v>-0.202312138728324</v>
      </c>
      <c r="G17" s="9" t="s">
        <v>198</v>
      </c>
      <c r="H17" s="7" t="n">
        <f aca="false">-(B17-D17)</f>
        <v>-550000</v>
      </c>
      <c r="I17" s="8" t="n">
        <f aca="false">IF(D17=0,"-",H17/ABS(D17))</f>
        <v>-0.118279569892473</v>
      </c>
      <c r="J17" s="9" t="s">
        <v>199</v>
      </c>
    </row>
    <row r="18" customFormat="false" ht="15" hidden="false" customHeight="false" outlineLevel="0" collapsed="false">
      <c r="A18" s="5" t="s">
        <v>42</v>
      </c>
      <c r="B18" s="6" t="n">
        <v>2250000</v>
      </c>
      <c r="C18" s="6" t="n">
        <v>2200000</v>
      </c>
      <c r="D18" s="6" t="n">
        <v>2225000</v>
      </c>
      <c r="E18" s="7" t="n">
        <f aca="false">-(B18-C18)</f>
        <v>-50000</v>
      </c>
      <c r="F18" s="8" t="n">
        <f aca="false">IF(C18=0,"-",E18/ABS(C18))</f>
        <v>-0.0227272727272727</v>
      </c>
      <c r="G18" s="13" t="s">
        <v>43</v>
      </c>
      <c r="H18" s="7" t="n">
        <f aca="false">-(B18-D18)</f>
        <v>-25000</v>
      </c>
      <c r="I18" s="8" t="n">
        <f aca="false">IF(D18=0,"-",H18/ABS(D18))</f>
        <v>-0.0112359550561798</v>
      </c>
      <c r="J18" s="13" t="s">
        <v>43</v>
      </c>
    </row>
    <row r="19" customFormat="false" ht="23.85" hidden="false" customHeight="false" outlineLevel="0" collapsed="false">
      <c r="A19" s="5" t="s">
        <v>44</v>
      </c>
      <c r="B19" s="6" t="n">
        <v>2800000</v>
      </c>
      <c r="C19" s="6" t="n">
        <v>2450000</v>
      </c>
      <c r="D19" s="6" t="n">
        <v>2660000</v>
      </c>
      <c r="E19" s="7" t="n">
        <f aca="false">-(B19-C19)</f>
        <v>-350000</v>
      </c>
      <c r="F19" s="8" t="n">
        <f aca="false">IF(C19=0,"-",E19/ABS(C19))</f>
        <v>-0.142857142857143</v>
      </c>
      <c r="G19" s="9" t="s">
        <v>200</v>
      </c>
      <c r="H19" s="7" t="n">
        <f aca="false">-(B19-D19)</f>
        <v>-140000</v>
      </c>
      <c r="I19" s="8" t="n">
        <f aca="false">IF(D19=0,"-",H19/ABS(D19))</f>
        <v>-0.0526315789473684</v>
      </c>
      <c r="J19" s="9" t="s">
        <v>59</v>
      </c>
    </row>
    <row r="20" customFormat="false" ht="23.85" hidden="false" customHeight="false" outlineLevel="0" collapsed="false">
      <c r="A20" s="5" t="s">
        <v>201</v>
      </c>
      <c r="B20" s="6" t="n">
        <v>3850000</v>
      </c>
      <c r="C20" s="6" t="n">
        <v>3300000</v>
      </c>
      <c r="D20" s="6" t="n">
        <v>3575000</v>
      </c>
      <c r="E20" s="7" t="n">
        <f aca="false">-(B20-C20)</f>
        <v>-550000</v>
      </c>
      <c r="F20" s="8" t="n">
        <f aca="false">IF(C20=0,"-",E20/ABS(C20))</f>
        <v>-0.166666666666667</v>
      </c>
      <c r="G20" s="9" t="s">
        <v>202</v>
      </c>
      <c r="H20" s="7" t="n">
        <f aca="false">-(B20-D20)</f>
        <v>-275000</v>
      </c>
      <c r="I20" s="8" t="n">
        <f aca="false">IF(D20=0,"-",H20/ABS(D20))</f>
        <v>-0.0769230769230769</v>
      </c>
      <c r="J20" s="9" t="s">
        <v>203</v>
      </c>
    </row>
    <row r="21" customFormat="false" ht="15" hidden="false" customHeight="false" outlineLevel="0" collapsed="false">
      <c r="A21" s="5" t="s">
        <v>112</v>
      </c>
      <c r="B21" s="6" t="n">
        <v>420000</v>
      </c>
      <c r="C21" s="6" t="n">
        <v>400000</v>
      </c>
      <c r="D21" s="6" t="n">
        <v>410000</v>
      </c>
      <c r="E21" s="7" t="n">
        <f aca="false">-(B21-C21)</f>
        <v>-20000</v>
      </c>
      <c r="F21" s="8" t="n">
        <f aca="false">IF(C21=0,"-",E21/ABS(C21))</f>
        <v>-0.05</v>
      </c>
      <c r="G21" s="9" t="s">
        <v>59</v>
      </c>
      <c r="H21" s="7" t="n">
        <f aca="false">-(B21-D21)</f>
        <v>-10000</v>
      </c>
      <c r="I21" s="8" t="n">
        <f aca="false">IF(D21=0,"-",H21/ABS(D21))</f>
        <v>-0.024390243902439</v>
      </c>
      <c r="J21" s="13" t="s">
        <v>43</v>
      </c>
    </row>
    <row r="22" customFormat="false" ht="15" hidden="false" customHeight="false" outlineLevel="0" collapsed="false">
      <c r="A22" s="10" t="s">
        <v>48</v>
      </c>
      <c r="B22" s="11" t="n">
        <f aca="false">B16+B17+B18+B19+B20+B21</f>
        <v>22170000</v>
      </c>
      <c r="C22" s="11" t="n">
        <f aca="false">C16+C17+C18+C19+C20+C21</f>
        <v>19925000</v>
      </c>
      <c r="D22" s="11" t="n">
        <f aca="false">D16+D17+D18+D19+D20+D21</f>
        <v>20895000</v>
      </c>
      <c r="E22" s="11" t="n">
        <f aca="false">E16+E17+E18+E19+E20+E21</f>
        <v>-2245000</v>
      </c>
      <c r="F22" s="12"/>
      <c r="G22" s="12"/>
      <c r="H22" s="11" t="n">
        <f aca="false">H16+H17+H18+H19+H20+H21</f>
        <v>-1275000</v>
      </c>
      <c r="I22" s="12"/>
      <c r="J22" s="12"/>
    </row>
    <row r="24" customFormat="false" ht="15" hidden="false" customHeight="false" outlineLevel="0" collapsed="false">
      <c r="A24" s="4" t="s">
        <v>49</v>
      </c>
      <c r="B24" s="4"/>
      <c r="C24" s="4"/>
      <c r="D24" s="4"/>
      <c r="E24" s="4"/>
      <c r="F24" s="4"/>
      <c r="G24" s="4"/>
      <c r="H24" s="4"/>
      <c r="I24" s="4"/>
      <c r="J24" s="4"/>
    </row>
    <row r="25" customFormat="false" ht="23.85" hidden="false" customHeight="false" outlineLevel="0" collapsed="false">
      <c r="A25" s="5" t="s">
        <v>50</v>
      </c>
      <c r="B25" s="6" t="n">
        <v>8500000</v>
      </c>
      <c r="C25" s="6" t="n">
        <v>7800000</v>
      </c>
      <c r="D25" s="6" t="n">
        <v>8200000</v>
      </c>
      <c r="E25" s="7" t="n">
        <f aca="false">-(B25-C25)</f>
        <v>-700000</v>
      </c>
      <c r="F25" s="8" t="n">
        <f aca="false">IF(C25=0,"-",E25/ABS(C25))</f>
        <v>-0.0897435897435897</v>
      </c>
      <c r="G25" s="9" t="s">
        <v>204</v>
      </c>
      <c r="H25" s="7" t="n">
        <f aca="false">-(B25-D25)</f>
        <v>-300000</v>
      </c>
      <c r="I25" s="8" t="n">
        <f aca="false">IF(D25=0,"-",H25/ABS(D25))</f>
        <v>-0.0365853658536585</v>
      </c>
      <c r="J25" s="13" t="s">
        <v>43</v>
      </c>
    </row>
    <row r="26" customFormat="false" ht="23.85" hidden="false" customHeight="false" outlineLevel="0" collapsed="false">
      <c r="A26" s="5" t="s">
        <v>205</v>
      </c>
      <c r="B26" s="6" t="n">
        <v>9000000</v>
      </c>
      <c r="C26" s="6" t="n">
        <v>8500000</v>
      </c>
      <c r="D26" s="6" t="n">
        <v>8800000</v>
      </c>
      <c r="E26" s="7" t="n">
        <f aca="false">-(B26-C26)</f>
        <v>-500000</v>
      </c>
      <c r="F26" s="8" t="n">
        <f aca="false">IF(C26=0,"-",E26/ABS(C26))</f>
        <v>-0.0588235294117647</v>
      </c>
      <c r="G26" s="9" t="s">
        <v>206</v>
      </c>
      <c r="H26" s="7" t="n">
        <f aca="false">-(B26-D26)</f>
        <v>-200000</v>
      </c>
      <c r="I26" s="8" t="n">
        <f aca="false">IF(D26=0,"-",H26/ABS(D26))</f>
        <v>-0.0227272727272727</v>
      </c>
      <c r="J26" s="13" t="s">
        <v>43</v>
      </c>
    </row>
    <row r="27" customFormat="false" ht="23.85" hidden="false" customHeight="false" outlineLevel="0" collapsed="false">
      <c r="A27" s="5" t="s">
        <v>207</v>
      </c>
      <c r="B27" s="6" t="n">
        <v>6000000</v>
      </c>
      <c r="C27" s="6" t="n">
        <v>5000000</v>
      </c>
      <c r="D27" s="6" t="n">
        <v>5500000</v>
      </c>
      <c r="E27" s="7" t="n">
        <f aca="false">-(B27-C27)</f>
        <v>-1000000</v>
      </c>
      <c r="F27" s="8" t="n">
        <f aca="false">IF(C27=0,"-",E27/ABS(C27))</f>
        <v>-0.2</v>
      </c>
      <c r="G27" s="9" t="s">
        <v>208</v>
      </c>
      <c r="H27" s="7" t="n">
        <f aca="false">-(B27-D27)</f>
        <v>-500000</v>
      </c>
      <c r="I27" s="8" t="n">
        <f aca="false">IF(D27=0,"-",H27/ABS(D27))</f>
        <v>-0.0909090909090909</v>
      </c>
      <c r="J27" s="9" t="s">
        <v>209</v>
      </c>
    </row>
    <row r="28" customFormat="false" ht="15" hidden="false" customHeight="false" outlineLevel="0" collapsed="false">
      <c r="A28" s="5" t="s">
        <v>55</v>
      </c>
      <c r="B28" s="6" t="n">
        <v>2200000</v>
      </c>
      <c r="C28" s="6" t="n">
        <v>2100000</v>
      </c>
      <c r="D28" s="6" t="n">
        <v>2150000</v>
      </c>
      <c r="E28" s="7" t="n">
        <f aca="false">-(B28-C28)</f>
        <v>-100000</v>
      </c>
      <c r="F28" s="8" t="n">
        <f aca="false">IF(C28=0,"-",E28/ABS(C28))</f>
        <v>-0.0476190476190476</v>
      </c>
      <c r="G28" s="13" t="s">
        <v>43</v>
      </c>
      <c r="H28" s="7" t="n">
        <f aca="false">-(B28-D28)</f>
        <v>-50000</v>
      </c>
      <c r="I28" s="8" t="n">
        <f aca="false">IF(D28=0,"-",H28/ABS(D28))</f>
        <v>-0.0232558139534884</v>
      </c>
      <c r="J28" s="13" t="s">
        <v>43</v>
      </c>
    </row>
    <row r="29" customFormat="false" ht="15" hidden="false" customHeight="false" outlineLevel="0" collapsed="false">
      <c r="A29" s="5" t="s">
        <v>210</v>
      </c>
      <c r="B29" s="6" t="n">
        <v>2100000</v>
      </c>
      <c r="C29" s="6" t="n">
        <v>1800000</v>
      </c>
      <c r="D29" s="6" t="n">
        <v>1950000</v>
      </c>
      <c r="E29" s="7" t="n">
        <f aca="false">-(B29-C29)</f>
        <v>-300000</v>
      </c>
      <c r="F29" s="8" t="n">
        <f aca="false">IF(C29=0,"-",E29/ABS(C29))</f>
        <v>-0.166666666666667</v>
      </c>
      <c r="G29" s="9" t="s">
        <v>211</v>
      </c>
      <c r="H29" s="7" t="n">
        <f aca="false">-(B29-D29)</f>
        <v>-150000</v>
      </c>
      <c r="I29" s="8" t="n">
        <f aca="false">IF(D29=0,"-",H29/ABS(D29))</f>
        <v>-0.0769230769230769</v>
      </c>
      <c r="J29" s="9" t="s">
        <v>212</v>
      </c>
    </row>
    <row r="30" customFormat="false" ht="15" hidden="false" customHeight="false" outlineLevel="0" collapsed="false">
      <c r="A30" s="5" t="s">
        <v>58</v>
      </c>
      <c r="B30" s="6" t="n">
        <v>2800000</v>
      </c>
      <c r="C30" s="6" t="n">
        <v>2600000</v>
      </c>
      <c r="D30" s="6" t="n">
        <v>2700000</v>
      </c>
      <c r="E30" s="7" t="n">
        <f aca="false">-(B30-C30)</f>
        <v>-200000</v>
      </c>
      <c r="F30" s="8" t="n">
        <f aca="false">IF(C30=0,"-",E30/ABS(C30))</f>
        <v>-0.0769230769230769</v>
      </c>
      <c r="G30" s="9" t="s">
        <v>59</v>
      </c>
      <c r="H30" s="7" t="n">
        <f aca="false">-(B30-D30)</f>
        <v>-100000</v>
      </c>
      <c r="I30" s="8" t="n">
        <f aca="false">IF(D30=0,"-",H30/ABS(D30))</f>
        <v>-0.037037037037037</v>
      </c>
      <c r="J30" s="13" t="s">
        <v>43</v>
      </c>
    </row>
    <row r="31" customFormat="false" ht="15" hidden="false" customHeight="false" outlineLevel="0" collapsed="false">
      <c r="A31" s="5" t="s">
        <v>60</v>
      </c>
      <c r="B31" s="6" t="n">
        <v>2200000</v>
      </c>
      <c r="C31" s="6" t="n">
        <v>2200000</v>
      </c>
      <c r="D31" s="6" t="n">
        <v>2200000</v>
      </c>
      <c r="E31" s="7" t="n">
        <f aca="false">-(B31-C31)</f>
        <v>-0</v>
      </c>
      <c r="F31" s="8" t="n">
        <f aca="false">IF(C31=0,"-",E31/ABS(C31))</f>
        <v>-0</v>
      </c>
      <c r="G31" s="13" t="s">
        <v>43</v>
      </c>
      <c r="H31" s="7" t="n">
        <f aca="false">-(B31-D31)</f>
        <v>-0</v>
      </c>
      <c r="I31" s="8" t="n">
        <f aca="false">IF(D31=0,"-",H31/ABS(D31))</f>
        <v>-0</v>
      </c>
      <c r="J31" s="13" t="s">
        <v>43</v>
      </c>
    </row>
    <row r="32" customFormat="false" ht="15" hidden="false" customHeight="false" outlineLevel="0" collapsed="false">
      <c r="A32" s="10" t="s">
        <v>61</v>
      </c>
      <c r="B32" s="11" t="n">
        <f aca="false">B25+B26+B27+B28+B29+B30+B31</f>
        <v>32800000</v>
      </c>
      <c r="C32" s="11" t="n">
        <f aca="false">C25+C26+C27+C28+C29+C30+C31</f>
        <v>30000000</v>
      </c>
      <c r="D32" s="11" t="n">
        <f aca="false">D25+D26+D27+D28+D29+D30+D31</f>
        <v>31500000</v>
      </c>
      <c r="E32" s="11" t="n">
        <f aca="false">E25+E26+E27+E28+E29+E30+E31</f>
        <v>-2800000</v>
      </c>
      <c r="F32" s="12"/>
      <c r="G32" s="12"/>
      <c r="H32" s="11" t="n">
        <f aca="false">H25+H26+H27+H28+H29+H30+H31</f>
        <v>-1300000</v>
      </c>
      <c r="I32" s="12"/>
      <c r="J32" s="12"/>
    </row>
    <row r="34" customFormat="false" ht="15" hidden="false" customHeight="false" outlineLevel="0" collapsed="false">
      <c r="A34" s="14" t="s">
        <v>62</v>
      </c>
      <c r="B34" s="15" t="n">
        <f aca="false">B13-B22</f>
        <v>46830000</v>
      </c>
      <c r="C34" s="15" t="n">
        <f aca="false">C13-C22</f>
        <v>41375000</v>
      </c>
      <c r="D34" s="15" t="n">
        <f aca="false">D13-D22</f>
        <v>43605000</v>
      </c>
      <c r="E34" s="15" t="n">
        <f aca="false">E13-E22</f>
        <v>9945000</v>
      </c>
      <c r="F34" s="16"/>
      <c r="G34" s="16"/>
      <c r="H34" s="15" t="n">
        <f aca="false">H13-H22</f>
        <v>5775000</v>
      </c>
      <c r="I34" s="16"/>
      <c r="J34" s="16"/>
    </row>
    <row r="36" customFormat="false" ht="15" hidden="false" customHeight="false" outlineLevel="0" collapsed="false">
      <c r="A36" s="14" t="s">
        <v>63</v>
      </c>
      <c r="B36" s="15" t="n">
        <f aca="false">B34-B32</f>
        <v>14030000</v>
      </c>
      <c r="C36" s="15" t="n">
        <f aca="false">C34-C32</f>
        <v>11375000</v>
      </c>
      <c r="D36" s="15" t="n">
        <f aca="false">D34-D32</f>
        <v>12105000</v>
      </c>
      <c r="E36" s="15" t="n">
        <f aca="false">E34-E32</f>
        <v>12745000</v>
      </c>
      <c r="F36" s="16"/>
      <c r="G36" s="16"/>
      <c r="H36" s="15" t="n">
        <f aca="false">H34-H32</f>
        <v>7075000</v>
      </c>
      <c r="I36" s="16"/>
      <c r="J36" s="16"/>
    </row>
  </sheetData>
  <mergeCells count="5">
    <mergeCell ref="A1:J1"/>
    <mergeCell ref="A2:J2"/>
    <mergeCell ref="A5:J5"/>
    <mergeCell ref="A15:J15"/>
    <mergeCell ref="A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213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12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179</v>
      </c>
      <c r="B6" s="6" t="n">
        <v>29000000</v>
      </c>
      <c r="C6" s="6" t="n">
        <v>27500000</v>
      </c>
      <c r="D6" s="7" t="n">
        <f aca="false">B6-C6</f>
        <v>1500000</v>
      </c>
      <c r="E6" s="8" t="n">
        <f aca="false">IF(C6=0,"-",D6/ABS(C6))</f>
        <v>0.0545454545454545</v>
      </c>
      <c r="F6" s="9" t="s">
        <v>214</v>
      </c>
    </row>
    <row r="7" customFormat="false" ht="15" hidden="false" customHeight="false" outlineLevel="0" collapsed="false">
      <c r="A7" s="5" t="s">
        <v>182</v>
      </c>
      <c r="B7" s="6" t="n">
        <v>11500000</v>
      </c>
      <c r="C7" s="6" t="n">
        <v>10800000</v>
      </c>
      <c r="D7" s="7" t="n">
        <f aca="false">B7-C7</f>
        <v>700000</v>
      </c>
      <c r="E7" s="8" t="n">
        <f aca="false">IF(C7=0,"-",D7/ABS(C7))</f>
        <v>0.0648148148148148</v>
      </c>
      <c r="F7" s="9" t="s">
        <v>215</v>
      </c>
    </row>
    <row r="8" customFormat="false" ht="15" hidden="false" customHeight="false" outlineLevel="0" collapsed="false">
      <c r="A8" s="5" t="s">
        <v>184</v>
      </c>
      <c r="B8" s="6" t="n">
        <v>33500000</v>
      </c>
      <c r="C8" s="6" t="n">
        <v>28000000</v>
      </c>
      <c r="D8" s="7" t="n">
        <f aca="false">B8-C8</f>
        <v>5500000</v>
      </c>
      <c r="E8" s="8" t="n">
        <f aca="false">IF(C8=0,"-",D8/ABS(C8))</f>
        <v>0.196428571428571</v>
      </c>
      <c r="F8" s="9" t="s">
        <v>216</v>
      </c>
    </row>
    <row r="9" customFormat="false" ht="15" hidden="false" customHeight="false" outlineLevel="0" collapsed="false">
      <c r="A9" s="5" t="s">
        <v>187</v>
      </c>
      <c r="B9" s="6" t="n">
        <v>18000000</v>
      </c>
      <c r="C9" s="6" t="n">
        <v>12000000</v>
      </c>
      <c r="D9" s="7" t="n">
        <f aca="false">B9-C9</f>
        <v>6000000</v>
      </c>
      <c r="E9" s="8" t="n">
        <f aca="false">IF(C9=0,"-",D9/ABS(C9))</f>
        <v>0.5</v>
      </c>
      <c r="F9" s="9" t="s">
        <v>217</v>
      </c>
    </row>
    <row r="10" customFormat="false" ht="15" hidden="false" customHeight="false" outlineLevel="0" collapsed="false">
      <c r="A10" s="5" t="s">
        <v>190</v>
      </c>
      <c r="B10" s="6" t="n">
        <v>13000000</v>
      </c>
      <c r="C10" s="6" t="n">
        <v>9000000</v>
      </c>
      <c r="D10" s="7" t="n">
        <f aca="false">B10-C10</f>
        <v>4000000</v>
      </c>
      <c r="E10" s="8" t="n">
        <f aca="false">IF(C10=0,"-",D10/ABS(C10))</f>
        <v>0.444444444444444</v>
      </c>
      <c r="F10" s="9" t="s">
        <v>218</v>
      </c>
    </row>
    <row r="11" customFormat="false" ht="15" hidden="false" customHeight="false" outlineLevel="0" collapsed="false">
      <c r="A11" s="5" t="s">
        <v>28</v>
      </c>
      <c r="B11" s="6" t="n">
        <v>17800000</v>
      </c>
      <c r="C11" s="6" t="n">
        <v>17400000</v>
      </c>
      <c r="D11" s="7" t="n">
        <f aca="false">B11-C11</f>
        <v>400000</v>
      </c>
      <c r="E11" s="8" t="n">
        <f aca="false">IF(C11=0,"-",D11/ABS(C11))</f>
        <v>0.0229885057471264</v>
      </c>
      <c r="F11" s="13" t="s">
        <v>43</v>
      </c>
    </row>
    <row r="12" customFormat="false" ht="15" hidden="false" customHeight="false" outlineLevel="0" collapsed="false">
      <c r="A12" s="5" t="s">
        <v>193</v>
      </c>
      <c r="B12" s="6" t="n">
        <v>7500000</v>
      </c>
      <c r="C12" s="6" t="n">
        <v>7000000</v>
      </c>
      <c r="D12" s="7" t="n">
        <f aca="false">B12-C12</f>
        <v>500000</v>
      </c>
      <c r="E12" s="8" t="n">
        <f aca="false">IF(C12=0,"-",D12/ABS(C12))</f>
        <v>0.0714285714285714</v>
      </c>
      <c r="F12" s="9" t="s">
        <v>219</v>
      </c>
    </row>
    <row r="13" customFormat="false" ht="15" hidden="false" customHeight="false" outlineLevel="0" collapsed="false">
      <c r="A13" s="10" t="s">
        <v>34</v>
      </c>
      <c r="B13" s="11" t="n">
        <f aca="false">B6+B7+B8+B9+B10+B11+B12</f>
        <v>130300000</v>
      </c>
      <c r="C13" s="11" t="n">
        <f aca="false">C6+C7+C8+C9+C10+C11+C12</f>
        <v>111700000</v>
      </c>
      <c r="D13" s="11" t="n">
        <f aca="false">D6+D7+D8+D9+D10+D11+D12</f>
        <v>18600000</v>
      </c>
      <c r="E13" s="12"/>
      <c r="F13" s="12"/>
    </row>
    <row r="15" customFormat="false" ht="15" hidden="false" customHeight="false" outlineLevel="0" collapsed="false">
      <c r="A15" s="4" t="s">
        <v>35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5" t="s">
        <v>195</v>
      </c>
      <c r="B16" s="6" t="n">
        <v>14900000</v>
      </c>
      <c r="C16" s="6" t="n">
        <v>14125000</v>
      </c>
      <c r="D16" s="7" t="n">
        <f aca="false">-(B16-C16)</f>
        <v>-775000</v>
      </c>
      <c r="E16" s="8" t="n">
        <f aca="false">IF(C16=0,"-",D16/ABS(C16))</f>
        <v>-0.0548672566371681</v>
      </c>
      <c r="F16" s="9" t="s">
        <v>220</v>
      </c>
    </row>
    <row r="17" customFormat="false" ht="15" hidden="false" customHeight="false" outlineLevel="0" collapsed="false">
      <c r="A17" s="5" t="s">
        <v>197</v>
      </c>
      <c r="B17" s="6" t="n">
        <v>9525000</v>
      </c>
      <c r="C17" s="6" t="n">
        <v>7950000</v>
      </c>
      <c r="D17" s="7" t="n">
        <f aca="false">-(B17-C17)</f>
        <v>-1575000</v>
      </c>
      <c r="E17" s="8" t="n">
        <f aca="false">IF(C17=0,"-",D17/ABS(C17))</f>
        <v>-0.19811320754717</v>
      </c>
      <c r="F17" s="9" t="s">
        <v>221</v>
      </c>
    </row>
    <row r="18" customFormat="false" ht="15" hidden="false" customHeight="false" outlineLevel="0" collapsed="false">
      <c r="A18" s="5" t="s">
        <v>42</v>
      </c>
      <c r="B18" s="6" t="n">
        <v>4450000</v>
      </c>
      <c r="C18" s="6" t="n">
        <v>4350000</v>
      </c>
      <c r="D18" s="7" t="n">
        <f aca="false">-(B18-C18)</f>
        <v>-100000</v>
      </c>
      <c r="E18" s="8" t="n">
        <f aca="false">IF(C18=0,"-",D18/ABS(C18))</f>
        <v>-0.0229885057471264</v>
      </c>
      <c r="F18" s="13" t="s">
        <v>43</v>
      </c>
    </row>
    <row r="19" customFormat="false" ht="15" hidden="false" customHeight="false" outlineLevel="0" collapsed="false">
      <c r="A19" s="5" t="s">
        <v>44</v>
      </c>
      <c r="B19" s="6" t="n">
        <v>5250000</v>
      </c>
      <c r="C19" s="6" t="n">
        <v>4900000</v>
      </c>
      <c r="D19" s="7" t="n">
        <f aca="false">-(B19-C19)</f>
        <v>-350000</v>
      </c>
      <c r="E19" s="8" t="n">
        <f aca="false">IF(C19=0,"-",D19/ABS(C19))</f>
        <v>-0.0714285714285714</v>
      </c>
      <c r="F19" s="9" t="s">
        <v>222</v>
      </c>
    </row>
    <row r="20" customFormat="false" ht="15" hidden="false" customHeight="false" outlineLevel="0" collapsed="false">
      <c r="A20" s="5" t="s">
        <v>201</v>
      </c>
      <c r="B20" s="6" t="n">
        <v>7150000</v>
      </c>
      <c r="C20" s="6" t="n">
        <v>5000000</v>
      </c>
      <c r="D20" s="7" t="n">
        <f aca="false">-(B20-C20)</f>
        <v>-2150000</v>
      </c>
      <c r="E20" s="8" t="n">
        <f aca="false">IF(C20=0,"-",D20/ABS(C20))</f>
        <v>-0.43</v>
      </c>
      <c r="F20" s="9" t="s">
        <v>223</v>
      </c>
    </row>
    <row r="21" customFormat="false" ht="15" hidden="false" customHeight="false" outlineLevel="0" collapsed="false">
      <c r="A21" s="5" t="s">
        <v>112</v>
      </c>
      <c r="B21" s="6" t="n">
        <v>820000</v>
      </c>
      <c r="C21" s="6" t="n">
        <v>790000</v>
      </c>
      <c r="D21" s="7" t="n">
        <f aca="false">-(B21-C21)</f>
        <v>-30000</v>
      </c>
      <c r="E21" s="8" t="n">
        <f aca="false">IF(C21=0,"-",D21/ABS(C21))</f>
        <v>-0.0379746835443038</v>
      </c>
      <c r="F21" s="13" t="s">
        <v>43</v>
      </c>
    </row>
    <row r="22" customFormat="false" ht="15" hidden="false" customHeight="false" outlineLevel="0" collapsed="false">
      <c r="A22" s="10" t="s">
        <v>48</v>
      </c>
      <c r="B22" s="11" t="n">
        <f aca="false">B16+B17+B18+B19+B20+B21</f>
        <v>42095000</v>
      </c>
      <c r="C22" s="11" t="n">
        <f aca="false">C16+C17+C18+C19+C20+C21</f>
        <v>37115000</v>
      </c>
      <c r="D22" s="11" t="n">
        <f aca="false">D16+D17+D18+D19+D20+D21</f>
        <v>-4980000</v>
      </c>
      <c r="E22" s="12"/>
      <c r="F22" s="12"/>
    </row>
    <row r="24" customFormat="false" ht="15" hidden="false" customHeight="false" outlineLevel="0" collapsed="false">
      <c r="A24" s="4" t="s">
        <v>49</v>
      </c>
      <c r="B24" s="4"/>
      <c r="C24" s="4"/>
      <c r="D24" s="4"/>
      <c r="E24" s="4"/>
      <c r="F24" s="4"/>
    </row>
    <row r="25" customFormat="false" ht="15" hidden="false" customHeight="false" outlineLevel="0" collapsed="false">
      <c r="A25" s="5" t="s">
        <v>50</v>
      </c>
      <c r="B25" s="6" t="n">
        <v>16300000</v>
      </c>
      <c r="C25" s="6" t="n">
        <v>15200000</v>
      </c>
      <c r="D25" s="7" t="n">
        <f aca="false">-(B25-C25)</f>
        <v>-1100000</v>
      </c>
      <c r="E25" s="8" t="n">
        <f aca="false">IF(C25=0,"-",D25/ABS(C25))</f>
        <v>-0.0723684210526316</v>
      </c>
      <c r="F25" s="9" t="s">
        <v>224</v>
      </c>
    </row>
    <row r="26" customFormat="false" ht="15" hidden="false" customHeight="false" outlineLevel="0" collapsed="false">
      <c r="A26" s="5" t="s">
        <v>205</v>
      </c>
      <c r="B26" s="6" t="n">
        <v>17500000</v>
      </c>
      <c r="C26" s="6" t="n">
        <v>16800000</v>
      </c>
      <c r="D26" s="7" t="n">
        <f aca="false">-(B26-C26)</f>
        <v>-700000</v>
      </c>
      <c r="E26" s="8" t="n">
        <f aca="false">IF(C26=0,"-",D26/ABS(C26))</f>
        <v>-0.0416666666666667</v>
      </c>
      <c r="F26" s="9" t="s">
        <v>225</v>
      </c>
    </row>
    <row r="27" customFormat="false" ht="23.85" hidden="false" customHeight="false" outlineLevel="0" collapsed="false">
      <c r="A27" s="5" t="s">
        <v>207</v>
      </c>
      <c r="B27" s="6" t="n">
        <v>11000000</v>
      </c>
      <c r="C27" s="6" t="n">
        <v>7000000</v>
      </c>
      <c r="D27" s="7" t="n">
        <f aca="false">-(B27-C27)</f>
        <v>-4000000</v>
      </c>
      <c r="E27" s="8" t="n">
        <f aca="false">IF(C27=0,"-",D27/ABS(C27))</f>
        <v>-0.571428571428571</v>
      </c>
      <c r="F27" s="9" t="s">
        <v>226</v>
      </c>
    </row>
    <row r="28" customFormat="false" ht="15" hidden="false" customHeight="false" outlineLevel="0" collapsed="false">
      <c r="A28" s="5" t="s">
        <v>55</v>
      </c>
      <c r="B28" s="6" t="n">
        <v>4300000</v>
      </c>
      <c r="C28" s="6" t="n">
        <v>4150000</v>
      </c>
      <c r="D28" s="7" t="n">
        <f aca="false">-(B28-C28)</f>
        <v>-150000</v>
      </c>
      <c r="E28" s="8" t="n">
        <f aca="false">IF(C28=0,"-",D28/ABS(C28))</f>
        <v>-0.036144578313253</v>
      </c>
      <c r="F28" s="13" t="s">
        <v>43</v>
      </c>
    </row>
    <row r="29" customFormat="false" ht="15" hidden="false" customHeight="false" outlineLevel="0" collapsed="false">
      <c r="A29" s="5" t="s">
        <v>210</v>
      </c>
      <c r="B29" s="6" t="n">
        <v>3900000</v>
      </c>
      <c r="C29" s="6" t="n">
        <v>2700000</v>
      </c>
      <c r="D29" s="7" t="n">
        <f aca="false">-(B29-C29)</f>
        <v>-1200000</v>
      </c>
      <c r="E29" s="8" t="n">
        <f aca="false">IF(C29=0,"-",D29/ABS(C29))</f>
        <v>-0.444444444444444</v>
      </c>
      <c r="F29" s="9" t="s">
        <v>227</v>
      </c>
    </row>
    <row r="30" customFormat="false" ht="15" hidden="false" customHeight="false" outlineLevel="0" collapsed="false">
      <c r="A30" s="5" t="s">
        <v>58</v>
      </c>
      <c r="B30" s="6" t="n">
        <v>5400000</v>
      </c>
      <c r="C30" s="6" t="n">
        <v>5100000</v>
      </c>
      <c r="D30" s="7" t="n">
        <f aca="false">-(B30-C30)</f>
        <v>-300000</v>
      </c>
      <c r="E30" s="8" t="n">
        <f aca="false">IF(C30=0,"-",D30/ABS(C30))</f>
        <v>-0.0588235294117647</v>
      </c>
      <c r="F30" s="9" t="s">
        <v>59</v>
      </c>
    </row>
    <row r="31" customFormat="false" ht="15" hidden="false" customHeight="false" outlineLevel="0" collapsed="false">
      <c r="A31" s="5" t="s">
        <v>60</v>
      </c>
      <c r="B31" s="6" t="n">
        <v>4400000</v>
      </c>
      <c r="C31" s="6" t="n">
        <v>4400000</v>
      </c>
      <c r="D31" s="7" t="n">
        <f aca="false">-(B31-C31)</f>
        <v>-0</v>
      </c>
      <c r="E31" s="8" t="n">
        <f aca="false">IF(C31=0,"-",D31/ABS(C31))</f>
        <v>-0</v>
      </c>
      <c r="F31" s="13" t="s">
        <v>43</v>
      </c>
    </row>
    <row r="32" customFormat="false" ht="15" hidden="false" customHeight="false" outlineLevel="0" collapsed="false">
      <c r="A32" s="10" t="s">
        <v>61</v>
      </c>
      <c r="B32" s="11" t="n">
        <f aca="false">B25+B26+B27+B28+B29+B30+B31</f>
        <v>62800000</v>
      </c>
      <c r="C32" s="11" t="n">
        <f aca="false">C25+C26+C27+C28+C29+C30+C31</f>
        <v>55350000</v>
      </c>
      <c r="D32" s="11" t="n">
        <f aca="false">D25+D26+D27+D28+D29+D30+D31</f>
        <v>-7450000</v>
      </c>
      <c r="E32" s="12"/>
      <c r="F32" s="12"/>
    </row>
    <row r="34" customFormat="false" ht="15" hidden="false" customHeight="false" outlineLevel="0" collapsed="false">
      <c r="A34" s="14" t="s">
        <v>62</v>
      </c>
      <c r="B34" s="15" t="n">
        <f aca="false">B13-B22</f>
        <v>88205000</v>
      </c>
      <c r="C34" s="15" t="n">
        <f aca="false">C13-C22</f>
        <v>74585000</v>
      </c>
      <c r="D34" s="15" t="n">
        <f aca="false">D13-D22</f>
        <v>23580000</v>
      </c>
      <c r="E34" s="16"/>
      <c r="F34" s="16"/>
    </row>
    <row r="36" customFormat="false" ht="15" hidden="false" customHeight="false" outlineLevel="0" collapsed="false">
      <c r="A36" s="14" t="s">
        <v>63</v>
      </c>
      <c r="B36" s="15" t="n">
        <f aca="false">B34-B32</f>
        <v>25405000</v>
      </c>
      <c r="C36" s="15" t="n">
        <f aca="false">C34-C32</f>
        <v>19235000</v>
      </c>
      <c r="D36" s="15" t="n">
        <f aca="false">D34-D32</f>
        <v>31030000</v>
      </c>
      <c r="E36" s="16"/>
      <c r="F36" s="16"/>
    </row>
  </sheetData>
  <mergeCells count="5">
    <mergeCell ref="A1:F1"/>
    <mergeCell ref="A2:F2"/>
    <mergeCell ref="A5:F5"/>
    <mergeCell ref="A15:F15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91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92</v>
      </c>
      <c r="B6" s="6" t="n">
        <v>12000000</v>
      </c>
      <c r="C6" s="6" t="n">
        <v>10000000</v>
      </c>
      <c r="D6" s="7" t="n">
        <f aca="false">B6-C6</f>
        <v>2000000</v>
      </c>
      <c r="E6" s="8" t="n">
        <f aca="false">IF(C6=0,"-",D6/ABS(C6))</f>
        <v>0.2</v>
      </c>
      <c r="F6" s="9" t="s">
        <v>229</v>
      </c>
    </row>
    <row r="7" customFormat="false" ht="15" hidden="false" customHeight="false" outlineLevel="0" collapsed="false">
      <c r="A7" s="5" t="s">
        <v>94</v>
      </c>
      <c r="B7" s="6" t="n">
        <v>-500000</v>
      </c>
      <c r="C7" s="6" t="n">
        <v>-400000</v>
      </c>
      <c r="D7" s="7" t="n">
        <f aca="false">B7-C7</f>
        <v>-100000</v>
      </c>
      <c r="E7" s="8" t="n">
        <f aca="false">IF(C7=0,"-",D7/ABS(C7))</f>
        <v>-0.25</v>
      </c>
      <c r="F7" s="9" t="s">
        <v>230</v>
      </c>
    </row>
    <row r="8" customFormat="false" ht="15" hidden="false" customHeight="false" outlineLevel="0" collapsed="false">
      <c r="A8" s="5" t="s">
        <v>96</v>
      </c>
      <c r="B8" s="6" t="n">
        <v>3200000</v>
      </c>
      <c r="C8" s="6" t="n">
        <v>2500000</v>
      </c>
      <c r="D8" s="7" t="n">
        <f aca="false">B8-C8</f>
        <v>700000</v>
      </c>
      <c r="E8" s="8" t="n">
        <f aca="false">IF(C8=0,"-",D8/ABS(C8))</f>
        <v>0.28</v>
      </c>
      <c r="F8" s="9" t="s">
        <v>231</v>
      </c>
    </row>
    <row r="9" customFormat="false" ht="15" hidden="false" customHeight="false" outlineLevel="0" collapsed="false">
      <c r="A9" s="5" t="s">
        <v>232</v>
      </c>
      <c r="B9" s="6" t="n">
        <v>4100000</v>
      </c>
      <c r="C9" s="6" t="n">
        <v>3700000</v>
      </c>
      <c r="D9" s="7" t="n">
        <f aca="false">B9-C9</f>
        <v>400000</v>
      </c>
      <c r="E9" s="8" t="n">
        <f aca="false">IF(C9=0,"-",D9/ABS(C9))</f>
        <v>0.108108108108108</v>
      </c>
      <c r="F9" s="9" t="s">
        <v>233</v>
      </c>
    </row>
    <row r="10" customFormat="false" ht="15" hidden="false" customHeight="false" outlineLevel="0" collapsed="false">
      <c r="A10" s="5" t="s">
        <v>234</v>
      </c>
      <c r="B10" s="6" t="n">
        <v>8000000</v>
      </c>
      <c r="C10" s="6" t="n">
        <v>6500000</v>
      </c>
      <c r="D10" s="7" t="n">
        <f aca="false">B10-C10</f>
        <v>1500000</v>
      </c>
      <c r="E10" s="8" t="n">
        <f aca="false">IF(C10=0,"-",D10/ABS(C10))</f>
        <v>0.230769230769231</v>
      </c>
      <c r="F10" s="9" t="s">
        <v>235</v>
      </c>
    </row>
    <row r="11" customFormat="false" ht="15" hidden="false" customHeight="false" outlineLevel="0" collapsed="false">
      <c r="A11" s="5" t="s">
        <v>236</v>
      </c>
      <c r="B11" s="6" t="n">
        <v>14000000</v>
      </c>
      <c r="C11" s="6" t="n">
        <v>15000000</v>
      </c>
      <c r="D11" s="7" t="n">
        <f aca="false">B11-C11</f>
        <v>-1000000</v>
      </c>
      <c r="E11" s="8" t="n">
        <f aca="false">IF(C11=0,"-",D11/ABS(C11))</f>
        <v>-0.0666666666666667</v>
      </c>
      <c r="F11" s="9" t="s">
        <v>237</v>
      </c>
    </row>
    <row r="12" customFormat="false" ht="15" hidden="false" customHeight="false" outlineLevel="0" collapsed="false">
      <c r="A12" s="5" t="s">
        <v>238</v>
      </c>
      <c r="B12" s="6" t="n">
        <v>5000000</v>
      </c>
      <c r="C12" s="6" t="n">
        <v>5500000</v>
      </c>
      <c r="D12" s="7" t="n">
        <f aca="false">B12-C12</f>
        <v>-500000</v>
      </c>
      <c r="E12" s="8" t="n">
        <f aca="false">IF(C12=0,"-",D12/ABS(C12))</f>
        <v>-0.0909090909090909</v>
      </c>
      <c r="F12" s="9" t="s">
        <v>239</v>
      </c>
    </row>
    <row r="13" customFormat="false" ht="15" hidden="false" customHeight="false" outlineLevel="0" collapsed="false">
      <c r="A13" s="10" t="s">
        <v>106</v>
      </c>
      <c r="B13" s="11" t="n">
        <f aca="false">B6+B7+B8+B9+B10+B11+B12</f>
        <v>45800000</v>
      </c>
      <c r="C13" s="11" t="n">
        <f aca="false">C6+C7+C8+C9+C10+C11+C12</f>
        <v>42800000</v>
      </c>
      <c r="D13" s="11" t="n">
        <f aca="false">D6+D7+D8+D9+D10+D11+D12</f>
        <v>3000000</v>
      </c>
      <c r="E13" s="12"/>
      <c r="F13" s="12"/>
    </row>
    <row r="14" customFormat="false" ht="15" hidden="false" customHeight="false" outlineLevel="0" collapsed="false">
      <c r="A14" s="4" t="s">
        <v>107</v>
      </c>
      <c r="B14" s="4"/>
      <c r="C14" s="4"/>
      <c r="D14" s="4"/>
      <c r="E14" s="4"/>
      <c r="F14" s="4"/>
    </row>
    <row r="15" customFormat="false" ht="23.85" hidden="false" customHeight="false" outlineLevel="0" collapsed="false">
      <c r="A15" s="5" t="s">
        <v>108</v>
      </c>
      <c r="B15" s="6" t="n">
        <v>16000000</v>
      </c>
      <c r="C15" s="6" t="n">
        <v>13500000</v>
      </c>
      <c r="D15" s="7" t="n">
        <f aca="false">B15-C15</f>
        <v>2500000</v>
      </c>
      <c r="E15" s="8" t="n">
        <f aca="false">IF(C15=0,"-",D15/ABS(C15))</f>
        <v>0.185185185185185</v>
      </c>
      <c r="F15" s="9" t="s">
        <v>240</v>
      </c>
    </row>
    <row r="16" customFormat="false" ht="15" hidden="false" customHeight="false" outlineLevel="0" collapsed="false">
      <c r="A16" s="5" t="s">
        <v>110</v>
      </c>
      <c r="B16" s="6" t="n">
        <v>8000000</v>
      </c>
      <c r="C16" s="6" t="n">
        <v>6500000</v>
      </c>
      <c r="D16" s="7" t="n">
        <f aca="false">B16-C16</f>
        <v>1500000</v>
      </c>
      <c r="E16" s="8" t="n">
        <f aca="false">IF(C16=0,"-",D16/ABS(C16))</f>
        <v>0.230769230769231</v>
      </c>
      <c r="F16" s="9" t="s">
        <v>241</v>
      </c>
    </row>
    <row r="17" customFormat="false" ht="15" hidden="false" customHeight="false" outlineLevel="0" collapsed="false">
      <c r="A17" s="5" t="s">
        <v>112</v>
      </c>
      <c r="B17" s="6" t="n">
        <v>800000</v>
      </c>
      <c r="C17" s="6" t="n">
        <v>750000</v>
      </c>
      <c r="D17" s="7" t="n">
        <f aca="false">B17-C17</f>
        <v>50000</v>
      </c>
      <c r="E17" s="8" t="n">
        <f aca="false">IF(C17=0,"-",D17/ABS(C17))</f>
        <v>0.0666666666666667</v>
      </c>
      <c r="F17" s="9" t="s">
        <v>242</v>
      </c>
    </row>
    <row r="18" customFormat="false" ht="15" hidden="false" customHeight="false" outlineLevel="0" collapsed="false">
      <c r="A18" s="5" t="s">
        <v>243</v>
      </c>
      <c r="B18" s="6" t="n">
        <v>3500000</v>
      </c>
      <c r="C18" s="6" t="n">
        <v>3000000</v>
      </c>
      <c r="D18" s="7" t="n">
        <f aca="false">B18-C18</f>
        <v>500000</v>
      </c>
      <c r="E18" s="8" t="n">
        <f aca="false">IF(C18=0,"-",D18/ABS(C18))</f>
        <v>0.166666666666667</v>
      </c>
      <c r="F18" s="9" t="s">
        <v>244</v>
      </c>
    </row>
    <row r="19" customFormat="false" ht="15" hidden="false" customHeight="false" outlineLevel="0" collapsed="false">
      <c r="A19" s="5" t="s">
        <v>176</v>
      </c>
      <c r="B19" s="6" t="n">
        <v>2500000</v>
      </c>
      <c r="C19" s="6" t="n">
        <v>3000000</v>
      </c>
      <c r="D19" s="7" t="n">
        <f aca="false">B19-C19</f>
        <v>-500000</v>
      </c>
      <c r="E19" s="8" t="n">
        <f aca="false">IF(C19=0,"-",D19/ABS(C19))</f>
        <v>-0.166666666666667</v>
      </c>
      <c r="F19" s="9" t="s">
        <v>245</v>
      </c>
    </row>
    <row r="20" customFormat="false" ht="15" hidden="false" customHeight="false" outlineLevel="0" collapsed="false">
      <c r="A20" s="10" t="s">
        <v>118</v>
      </c>
      <c r="B20" s="11" t="n">
        <f aca="false">B15+B16+B17+B18+B19</f>
        <v>30800000</v>
      </c>
      <c r="C20" s="11" t="n">
        <f aca="false">C15+C16+C17+C18+C19</f>
        <v>26750000</v>
      </c>
      <c r="D20" s="11" t="n">
        <f aca="false">D15+D16+D17+D18+D19</f>
        <v>4050000</v>
      </c>
      <c r="E20" s="12"/>
      <c r="F20" s="12"/>
    </row>
  </sheetData>
  <mergeCells count="4">
    <mergeCell ref="A1:F1"/>
    <mergeCell ref="A2:F2"/>
    <mergeCell ref="A5:F5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246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23.85" hidden="false" customHeight="false" outlineLevel="0" collapsed="false">
      <c r="A6" s="5" t="s">
        <v>249</v>
      </c>
      <c r="B6" s="6" t="n">
        <v>4200000</v>
      </c>
      <c r="C6" s="6" t="n">
        <v>4500000</v>
      </c>
      <c r="D6" s="6" t="n">
        <v>4100000</v>
      </c>
      <c r="E6" s="7" t="n">
        <f aca="false">-(B6-C6)</f>
        <v>300000</v>
      </c>
      <c r="F6" s="8" t="n">
        <f aca="false">IF(C6=0,"-",E6/ABS(C6))</f>
        <v>0.0666666666666667</v>
      </c>
      <c r="G6" s="9" t="s">
        <v>250</v>
      </c>
      <c r="H6" s="7" t="n">
        <f aca="false">-(B6-D6)</f>
        <v>-100000</v>
      </c>
      <c r="I6" s="8" t="n">
        <f aca="false">IF(D6=0,"-",H6/ABS(D6))</f>
        <v>-0.024390243902439</v>
      </c>
      <c r="J6" s="13" t="s">
        <v>43</v>
      </c>
    </row>
    <row r="7" customFormat="false" ht="23.85" hidden="false" customHeight="false" outlineLevel="0" collapsed="false">
      <c r="A7" s="5" t="s">
        <v>251</v>
      </c>
      <c r="B7" s="6" t="n">
        <v>1500000</v>
      </c>
      <c r="C7" s="6" t="n">
        <v>800000</v>
      </c>
      <c r="D7" s="6" t="n">
        <v>2000000</v>
      </c>
      <c r="E7" s="7" t="n">
        <f aca="false">-(B7-C7)</f>
        <v>-700000</v>
      </c>
      <c r="F7" s="8" t="n">
        <f aca="false">IF(C7=0,"-",E7/ABS(C7))</f>
        <v>-0.875</v>
      </c>
      <c r="G7" s="9" t="s">
        <v>252</v>
      </c>
      <c r="H7" s="7" t="n">
        <f aca="false">-(B7-D7)</f>
        <v>500000</v>
      </c>
      <c r="I7" s="8" t="n">
        <f aca="false">IF(D7=0,"-",H7/ABS(D7))</f>
        <v>0.25</v>
      </c>
      <c r="J7" s="9" t="s">
        <v>253</v>
      </c>
    </row>
    <row r="8" customFormat="false" ht="15" hidden="false" customHeight="false" outlineLevel="0" collapsed="false">
      <c r="A8" s="5" t="s">
        <v>254</v>
      </c>
      <c r="B8" s="6" t="n">
        <v>350000</v>
      </c>
      <c r="C8" s="6" t="n">
        <v>320000</v>
      </c>
      <c r="D8" s="6" t="n">
        <v>340000</v>
      </c>
      <c r="E8" s="7" t="n">
        <f aca="false">-(B8-C8)</f>
        <v>-30000</v>
      </c>
      <c r="F8" s="8" t="n">
        <f aca="false">IF(C8=0,"-",E8/ABS(C8))</f>
        <v>-0.09375</v>
      </c>
      <c r="G8" s="9" t="s">
        <v>59</v>
      </c>
      <c r="H8" s="7" t="n">
        <f aca="false">-(B8-D8)</f>
        <v>-10000</v>
      </c>
      <c r="I8" s="8" t="n">
        <f aca="false">IF(D8=0,"-",H8/ABS(D8))</f>
        <v>-0.0294117647058824</v>
      </c>
      <c r="J8" s="13" t="s">
        <v>43</v>
      </c>
    </row>
    <row r="9" customFormat="false" ht="15" hidden="false" customHeight="false" outlineLevel="0" collapsed="false">
      <c r="A9" s="5" t="s">
        <v>255</v>
      </c>
      <c r="B9" s="6" t="n">
        <v>420000</v>
      </c>
      <c r="C9" s="6" t="n">
        <v>400000</v>
      </c>
      <c r="D9" s="6" t="n">
        <v>410000</v>
      </c>
      <c r="E9" s="7" t="n">
        <f aca="false">-(B9-C9)</f>
        <v>-20000</v>
      </c>
      <c r="F9" s="8" t="n">
        <f aca="false">IF(C9=0,"-",E9/ABS(C9))</f>
        <v>-0.05</v>
      </c>
      <c r="G9" s="9" t="s">
        <v>59</v>
      </c>
      <c r="H9" s="7" t="n">
        <f aca="false">-(B9-D9)</f>
        <v>-10000</v>
      </c>
      <c r="I9" s="8" t="n">
        <f aca="false">IF(D9=0,"-",H9/ABS(D9))</f>
        <v>-0.024390243902439</v>
      </c>
      <c r="J9" s="13" t="s">
        <v>43</v>
      </c>
    </row>
    <row r="10" customFormat="false" ht="15" hidden="false" customHeight="false" outlineLevel="0" collapsed="false">
      <c r="A10" s="5" t="s">
        <v>256</v>
      </c>
      <c r="B10" s="6" t="n">
        <v>280000</v>
      </c>
      <c r="C10" s="6" t="n">
        <v>250000</v>
      </c>
      <c r="D10" s="6" t="n">
        <v>300000</v>
      </c>
      <c r="E10" s="7" t="n">
        <f aca="false">-(B10-C10)</f>
        <v>-30000</v>
      </c>
      <c r="F10" s="8" t="n">
        <f aca="false">IF(C10=0,"-",E10/ABS(C10))</f>
        <v>-0.12</v>
      </c>
      <c r="G10" s="9" t="s">
        <v>59</v>
      </c>
      <c r="H10" s="7" t="n">
        <f aca="false">-(B10-D10)</f>
        <v>20000</v>
      </c>
      <c r="I10" s="8" t="n">
        <f aca="false">IF(D10=0,"-",H10/ABS(D10))</f>
        <v>0.0666666666666667</v>
      </c>
      <c r="J10" s="9" t="s">
        <v>59</v>
      </c>
    </row>
    <row r="11" customFormat="false" ht="15" hidden="false" customHeight="false" outlineLevel="0" collapsed="false">
      <c r="A11" s="5" t="s">
        <v>257</v>
      </c>
      <c r="B11" s="6" t="n">
        <v>3800000</v>
      </c>
      <c r="C11" s="6" t="n">
        <v>3700000</v>
      </c>
      <c r="D11" s="6" t="n">
        <v>3750000</v>
      </c>
      <c r="E11" s="7" t="n">
        <f aca="false">-(B11-C11)</f>
        <v>-100000</v>
      </c>
      <c r="F11" s="8" t="n">
        <f aca="false">IF(C11=0,"-",E11/ABS(C11))</f>
        <v>-0.027027027027027</v>
      </c>
      <c r="G11" s="13" t="s">
        <v>43</v>
      </c>
      <c r="H11" s="7" t="n">
        <f aca="false">-(B11-D11)</f>
        <v>-50000</v>
      </c>
      <c r="I11" s="8" t="n">
        <f aca="false">IF(D11=0,"-",H11/ABS(D11))</f>
        <v>-0.0133333333333333</v>
      </c>
      <c r="J11" s="13" t="s">
        <v>43</v>
      </c>
    </row>
    <row r="12" customFormat="false" ht="15" hidden="false" customHeight="false" outlineLevel="0" collapsed="false">
      <c r="A12" s="5" t="s">
        <v>258</v>
      </c>
      <c r="B12" s="6" t="n">
        <v>620000</v>
      </c>
      <c r="C12" s="6" t="n">
        <v>600000</v>
      </c>
      <c r="D12" s="6" t="n">
        <v>610000</v>
      </c>
      <c r="E12" s="7" t="n">
        <f aca="false">-(B12-C12)</f>
        <v>-20000</v>
      </c>
      <c r="F12" s="8" t="n">
        <f aca="false">IF(C12=0,"-",E12/ABS(C12))</f>
        <v>-0.0333333333333333</v>
      </c>
      <c r="G12" s="13" t="s">
        <v>43</v>
      </c>
      <c r="H12" s="7" t="n">
        <f aca="false">-(B12-D12)</f>
        <v>-10000</v>
      </c>
      <c r="I12" s="8" t="n">
        <f aca="false">IF(D12=0,"-",H12/ABS(D12))</f>
        <v>-0.0163934426229508</v>
      </c>
      <c r="J12" s="13" t="s">
        <v>43</v>
      </c>
    </row>
    <row r="13" customFormat="false" ht="15" hidden="false" customHeight="false" outlineLevel="0" collapsed="false">
      <c r="A13" s="5" t="s">
        <v>259</v>
      </c>
      <c r="B13" s="6" t="n">
        <v>545000</v>
      </c>
      <c r="C13" s="6" t="n">
        <v>510000</v>
      </c>
      <c r="D13" s="6" t="n">
        <v>475000</v>
      </c>
      <c r="E13" s="7" t="n">
        <f aca="false">-(B13-C13)</f>
        <v>-35000</v>
      </c>
      <c r="F13" s="8" t="n">
        <f aca="false">IF(C13=0,"-",E13/ABS(C13))</f>
        <v>-0.0686274509803922</v>
      </c>
      <c r="G13" s="9" t="s">
        <v>59</v>
      </c>
      <c r="H13" s="7" t="n">
        <f aca="false">-(B13-D13)</f>
        <v>-70000</v>
      </c>
      <c r="I13" s="8" t="n">
        <f aca="false">IF(D13=0,"-",H13/ABS(D13))</f>
        <v>-0.147368421052632</v>
      </c>
      <c r="J13" s="9" t="s">
        <v>59</v>
      </c>
    </row>
    <row r="14" customFormat="false" ht="15" hidden="false" customHeight="false" outlineLevel="0" collapsed="false">
      <c r="A14" s="10" t="s">
        <v>260</v>
      </c>
      <c r="B14" s="11" t="n">
        <f aca="false">B6+B7+B8+B9+B10+B11+B12+B13</f>
        <v>11715000</v>
      </c>
      <c r="C14" s="11" t="n">
        <f aca="false">C6+C7+C8+C9+C10+C11+C12+C13</f>
        <v>11080000</v>
      </c>
      <c r="D14" s="11" t="n">
        <f aca="false">D6+D7+D8+D9+D10+D11+D12+D13</f>
        <v>11985000</v>
      </c>
      <c r="E14" s="11" t="n">
        <f aca="false">E6+E7+E8+E9+E10+E11+E12+E13</f>
        <v>-635000</v>
      </c>
      <c r="F14" s="12"/>
      <c r="G14" s="12"/>
      <c r="H14" s="11" t="n">
        <f aca="false">H6+H7+H8+H9+H10+H11+H12+H13</f>
        <v>270000</v>
      </c>
      <c r="I14" s="12"/>
      <c r="J14" s="12"/>
    </row>
  </sheetData>
  <mergeCells count="3">
    <mergeCell ref="A1:J1"/>
    <mergeCell ref="A2:J2"/>
    <mergeCell ref="A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261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262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249</v>
      </c>
      <c r="B6" s="6" t="n">
        <v>8700000</v>
      </c>
      <c r="C6" s="6" t="n">
        <v>8900000</v>
      </c>
      <c r="D6" s="7" t="n">
        <f aca="false">-(B6-C6)</f>
        <v>200000</v>
      </c>
      <c r="E6" s="8" t="n">
        <f aca="false">IF(C6=0,"-",D6/ABS(C6))</f>
        <v>0.0224719101123596</v>
      </c>
      <c r="F6" s="13" t="s">
        <v>43</v>
      </c>
    </row>
    <row r="7" customFormat="false" ht="15" hidden="false" customHeight="false" outlineLevel="0" collapsed="false">
      <c r="A7" s="5" t="s">
        <v>251</v>
      </c>
      <c r="B7" s="6" t="n">
        <v>2300000</v>
      </c>
      <c r="C7" s="6" t="n">
        <v>3200000</v>
      </c>
      <c r="D7" s="7" t="n">
        <f aca="false">-(B7-C7)</f>
        <v>900000</v>
      </c>
      <c r="E7" s="8" t="n">
        <f aca="false">IF(C7=0,"-",D7/ABS(C7))</f>
        <v>0.28125</v>
      </c>
      <c r="F7" s="9" t="s">
        <v>263</v>
      </c>
    </row>
    <row r="8" customFormat="false" ht="15" hidden="false" customHeight="false" outlineLevel="0" collapsed="false">
      <c r="A8" s="5" t="s">
        <v>254</v>
      </c>
      <c r="B8" s="6" t="n">
        <v>670000</v>
      </c>
      <c r="C8" s="6" t="n">
        <v>650000</v>
      </c>
      <c r="D8" s="7" t="n">
        <f aca="false">-(B8-C8)</f>
        <v>-20000</v>
      </c>
      <c r="E8" s="8" t="n">
        <f aca="false">IF(C8=0,"-",D8/ABS(C8))</f>
        <v>-0.0307692307692308</v>
      </c>
      <c r="F8" s="13" t="s">
        <v>43</v>
      </c>
    </row>
    <row r="9" customFormat="false" ht="15" hidden="false" customHeight="false" outlineLevel="0" collapsed="false">
      <c r="A9" s="5" t="s">
        <v>255</v>
      </c>
      <c r="B9" s="6" t="n">
        <v>820000</v>
      </c>
      <c r="C9" s="6" t="n">
        <v>800000</v>
      </c>
      <c r="D9" s="7" t="n">
        <f aca="false">-(B9-C9)</f>
        <v>-20000</v>
      </c>
      <c r="E9" s="8" t="n">
        <f aca="false">IF(C9=0,"-",D9/ABS(C9))</f>
        <v>-0.025</v>
      </c>
      <c r="F9" s="13" t="s">
        <v>43</v>
      </c>
    </row>
    <row r="10" customFormat="false" ht="15" hidden="false" customHeight="false" outlineLevel="0" collapsed="false">
      <c r="A10" s="5" t="s">
        <v>256</v>
      </c>
      <c r="B10" s="6" t="n">
        <v>530000</v>
      </c>
      <c r="C10" s="6" t="n">
        <v>520000</v>
      </c>
      <c r="D10" s="7" t="n">
        <f aca="false">-(B10-C10)</f>
        <v>-10000</v>
      </c>
      <c r="E10" s="8" t="n">
        <f aca="false">IF(C10=0,"-",D10/ABS(C10))</f>
        <v>-0.0192307692307692</v>
      </c>
      <c r="F10" s="13" t="s">
        <v>43</v>
      </c>
    </row>
    <row r="11" customFormat="false" ht="15" hidden="false" customHeight="false" outlineLevel="0" collapsed="false">
      <c r="A11" s="5" t="s">
        <v>257</v>
      </c>
      <c r="B11" s="6" t="n">
        <v>7500000</v>
      </c>
      <c r="C11" s="6" t="n">
        <v>7350000</v>
      </c>
      <c r="D11" s="7" t="n">
        <f aca="false">-(B11-C11)</f>
        <v>-150000</v>
      </c>
      <c r="E11" s="8" t="n">
        <f aca="false">IF(C11=0,"-",D11/ABS(C11))</f>
        <v>-0.0204081632653061</v>
      </c>
      <c r="F11" s="13" t="s">
        <v>43</v>
      </c>
    </row>
    <row r="12" customFormat="false" ht="15" hidden="false" customHeight="false" outlineLevel="0" collapsed="false">
      <c r="A12" s="5" t="s">
        <v>258</v>
      </c>
      <c r="B12" s="6" t="n">
        <v>1220000</v>
      </c>
      <c r="C12" s="6" t="n">
        <v>1190000</v>
      </c>
      <c r="D12" s="7" t="n">
        <f aca="false">-(B12-C12)</f>
        <v>-30000</v>
      </c>
      <c r="E12" s="8" t="n">
        <f aca="false">IF(C12=0,"-",D12/ABS(C12))</f>
        <v>-0.0252100840336134</v>
      </c>
      <c r="F12" s="13" t="s">
        <v>43</v>
      </c>
    </row>
    <row r="13" customFormat="false" ht="15" hidden="false" customHeight="false" outlineLevel="0" collapsed="false">
      <c r="A13" s="5" t="s">
        <v>259</v>
      </c>
      <c r="B13" s="6" t="n">
        <v>1055000</v>
      </c>
      <c r="C13" s="6" t="n">
        <v>915000</v>
      </c>
      <c r="D13" s="7" t="n">
        <f aca="false">-(B13-C13)</f>
        <v>-140000</v>
      </c>
      <c r="E13" s="8" t="n">
        <f aca="false">IF(C13=0,"-",D13/ABS(C13))</f>
        <v>-0.153005464480874</v>
      </c>
      <c r="F13" s="9" t="s">
        <v>59</v>
      </c>
    </row>
    <row r="14" customFormat="false" ht="15" hidden="false" customHeight="false" outlineLevel="0" collapsed="false">
      <c r="A14" s="10" t="s">
        <v>260</v>
      </c>
      <c r="B14" s="11" t="n">
        <f aca="false">B6+B7+B8+B9+B10+B11+B12+B13</f>
        <v>22795000</v>
      </c>
      <c r="C14" s="11" t="n">
        <f aca="false">C6+C7+C8+C9+C10+C11+C12+C13</f>
        <v>23525000</v>
      </c>
      <c r="D14" s="11" t="n">
        <f aca="false">D6+D7+D8+D9+D10+D11+D12+D13</f>
        <v>730000</v>
      </c>
      <c r="E14" s="12"/>
      <c r="F14" s="12"/>
    </row>
  </sheetData>
  <mergeCells count="3">
    <mergeCell ref="A1:F1"/>
    <mergeCell ref="A2:F2"/>
    <mergeCell ref="A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264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266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267</v>
      </c>
      <c r="B6" s="6" t="n">
        <v>800000</v>
      </c>
      <c r="C6" s="6" t="n">
        <v>950000</v>
      </c>
      <c r="D6" s="7" t="n">
        <f aca="false">B6-C6</f>
        <v>-150000</v>
      </c>
      <c r="E6" s="8" t="n">
        <f aca="false">IF(C6=0,"-",D6/ABS(C6))</f>
        <v>-0.157894736842105</v>
      </c>
      <c r="F6" s="9" t="s">
        <v>268</v>
      </c>
    </row>
    <row r="7" customFormat="false" ht="15" hidden="false" customHeight="false" outlineLevel="0" collapsed="false">
      <c r="A7" s="5" t="s">
        <v>269</v>
      </c>
      <c r="B7" s="6" t="n">
        <v>12000000</v>
      </c>
      <c r="C7" s="6" t="n">
        <v>12500000</v>
      </c>
      <c r="D7" s="7" t="n">
        <f aca="false">B7-C7</f>
        <v>-500000</v>
      </c>
      <c r="E7" s="8" t="n">
        <f aca="false">IF(C7=0,"-",D7/ABS(C7))</f>
        <v>-0.04</v>
      </c>
      <c r="F7" s="9" t="s">
        <v>270</v>
      </c>
    </row>
    <row r="8" customFormat="false" ht="15" hidden="false" customHeight="false" outlineLevel="0" collapsed="false">
      <c r="A8" s="5" t="s">
        <v>271</v>
      </c>
      <c r="B8" s="6" t="n">
        <v>500000</v>
      </c>
      <c r="C8" s="6" t="n">
        <v>750000</v>
      </c>
      <c r="D8" s="7" t="n">
        <f aca="false">B8-C8</f>
        <v>-250000</v>
      </c>
      <c r="E8" s="8" t="n">
        <f aca="false">IF(C8=0,"-",D8/ABS(C8))</f>
        <v>-0.333333333333333</v>
      </c>
      <c r="F8" s="9" t="s">
        <v>272</v>
      </c>
    </row>
    <row r="9" customFormat="false" ht="15" hidden="false" customHeight="false" outlineLevel="0" collapsed="false">
      <c r="A9" s="10" t="s">
        <v>273</v>
      </c>
      <c r="B9" s="11" t="n">
        <f aca="false">B6+B7+B8</f>
        <v>13300000</v>
      </c>
      <c r="C9" s="11" t="n">
        <f aca="false">C6+C7+C8</f>
        <v>14200000</v>
      </c>
      <c r="D9" s="11" t="n">
        <f aca="false">D6+D7+D8</f>
        <v>-900000</v>
      </c>
      <c r="E9" s="12"/>
      <c r="F9" s="12"/>
    </row>
    <row r="10" customFormat="false" ht="15" hidden="false" customHeight="false" outlineLevel="0" collapsed="false">
      <c r="A10" s="4" t="s">
        <v>274</v>
      </c>
      <c r="B10" s="4"/>
      <c r="C10" s="4"/>
      <c r="D10" s="4"/>
      <c r="E10" s="4"/>
      <c r="F10" s="4"/>
    </row>
    <row r="11" customFormat="false" ht="23.85" hidden="false" customHeight="false" outlineLevel="0" collapsed="false">
      <c r="A11" s="5" t="s">
        <v>275</v>
      </c>
      <c r="B11" s="6" t="n">
        <v>5500000</v>
      </c>
      <c r="C11" s="6" t="n">
        <v>4800000</v>
      </c>
      <c r="D11" s="7" t="n">
        <f aca="false">B11-C11</f>
        <v>700000</v>
      </c>
      <c r="E11" s="8" t="n">
        <f aca="false">IF(C11=0,"-",D11/ABS(C11))</f>
        <v>0.145833333333333</v>
      </c>
      <c r="F11" s="9" t="s">
        <v>276</v>
      </c>
    </row>
    <row r="12" customFormat="false" ht="23.85" hidden="false" customHeight="false" outlineLevel="0" collapsed="false">
      <c r="A12" s="5" t="s">
        <v>277</v>
      </c>
      <c r="B12" s="6" t="n">
        <v>3200000</v>
      </c>
      <c r="C12" s="6" t="n">
        <v>2800000</v>
      </c>
      <c r="D12" s="7" t="n">
        <f aca="false">B12-C12</f>
        <v>400000</v>
      </c>
      <c r="E12" s="8" t="n">
        <f aca="false">IF(C12=0,"-",D12/ABS(C12))</f>
        <v>0.142857142857143</v>
      </c>
      <c r="F12" s="9" t="s">
        <v>278</v>
      </c>
    </row>
    <row r="13" customFormat="false" ht="15" hidden="false" customHeight="false" outlineLevel="0" collapsed="false">
      <c r="A13" s="5" t="s">
        <v>279</v>
      </c>
      <c r="B13" s="6" t="n">
        <v>1100000</v>
      </c>
      <c r="C13" s="6" t="n">
        <v>900000</v>
      </c>
      <c r="D13" s="7" t="n">
        <f aca="false">B13-C13</f>
        <v>200000</v>
      </c>
      <c r="E13" s="8" t="n">
        <f aca="false">IF(C13=0,"-",D13/ABS(C13))</f>
        <v>0.222222222222222</v>
      </c>
      <c r="F13" s="9" t="s">
        <v>280</v>
      </c>
    </row>
    <row r="14" customFormat="false" ht="15" hidden="false" customHeight="false" outlineLevel="0" collapsed="false">
      <c r="A14" s="10" t="s">
        <v>281</v>
      </c>
      <c r="B14" s="11" t="n">
        <f aca="false">B11+B12+B13</f>
        <v>9800000</v>
      </c>
      <c r="C14" s="11" t="n">
        <f aca="false">C11+C12+C13</f>
        <v>8500000</v>
      </c>
      <c r="D14" s="11" t="n">
        <f aca="false">D11+D12+D13</f>
        <v>1300000</v>
      </c>
      <c r="E14" s="12"/>
      <c r="F14" s="12"/>
    </row>
  </sheetData>
  <mergeCells count="4">
    <mergeCell ref="A1:F1"/>
    <mergeCell ref="A2:F2"/>
    <mergeCell ref="A5:F5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FCE"/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282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15" hidden="false" customHeight="false" outlineLevel="0" collapsed="false">
      <c r="A6" s="5" t="s">
        <v>283</v>
      </c>
      <c r="B6" s="6" t="n">
        <v>2800000</v>
      </c>
      <c r="C6" s="6" t="n">
        <v>2750000</v>
      </c>
      <c r="D6" s="6" t="n">
        <v>2780000</v>
      </c>
      <c r="E6" s="7" t="n">
        <f aca="false">-(B6-C6)</f>
        <v>-50000</v>
      </c>
      <c r="F6" s="8" t="n">
        <f aca="false">IF(C6=0,"-",E6/ABS(C6))</f>
        <v>-0.0181818181818182</v>
      </c>
      <c r="G6" s="13" t="s">
        <v>43</v>
      </c>
      <c r="H6" s="7" t="n">
        <f aca="false">-(B6-D6)</f>
        <v>-20000</v>
      </c>
      <c r="I6" s="8" t="n">
        <f aca="false">IF(D6=0,"-",H6/ABS(D6))</f>
        <v>-0.00719424460431655</v>
      </c>
      <c r="J6" s="13" t="s">
        <v>43</v>
      </c>
    </row>
    <row r="7" customFormat="false" ht="15" hidden="false" customHeight="false" outlineLevel="0" collapsed="false">
      <c r="A7" s="5" t="s">
        <v>284</v>
      </c>
      <c r="B7" s="6" t="n">
        <v>8500000</v>
      </c>
      <c r="C7" s="6" t="n">
        <v>8200000</v>
      </c>
      <c r="D7" s="6" t="n">
        <v>8400000</v>
      </c>
      <c r="E7" s="7" t="n">
        <f aca="false">-(B7-C7)</f>
        <v>-300000</v>
      </c>
      <c r="F7" s="8" t="n">
        <f aca="false">IF(C7=0,"-",E7/ABS(C7))</f>
        <v>-0.0365853658536585</v>
      </c>
      <c r="G7" s="13" t="s">
        <v>43</v>
      </c>
      <c r="H7" s="7" t="n">
        <f aca="false">-(B7-D7)</f>
        <v>-100000</v>
      </c>
      <c r="I7" s="8" t="n">
        <f aca="false">IF(D7=0,"-",H7/ABS(D7))</f>
        <v>-0.0119047619047619</v>
      </c>
      <c r="J7" s="13" t="s">
        <v>43</v>
      </c>
    </row>
    <row r="8" customFormat="false" ht="23.85" hidden="false" customHeight="false" outlineLevel="0" collapsed="false">
      <c r="A8" s="5" t="s">
        <v>285</v>
      </c>
      <c r="B8" s="6" t="n">
        <v>1200000</v>
      </c>
      <c r="C8" s="6" t="n">
        <v>1500000</v>
      </c>
      <c r="D8" s="6" t="n">
        <v>1100000</v>
      </c>
      <c r="E8" s="7" t="n">
        <f aca="false">-(B8-C8)</f>
        <v>300000</v>
      </c>
      <c r="F8" s="8" t="n">
        <f aca="false">IF(C8=0,"-",E8/ABS(C8))</f>
        <v>0.2</v>
      </c>
      <c r="G8" s="9" t="s">
        <v>286</v>
      </c>
      <c r="H8" s="7" t="n">
        <f aca="false">-(B8-D8)</f>
        <v>-100000</v>
      </c>
      <c r="I8" s="8" t="n">
        <f aca="false">IF(D8=0,"-",H8/ABS(D8))</f>
        <v>-0.0909090909090909</v>
      </c>
      <c r="J8" s="9" t="s">
        <v>287</v>
      </c>
    </row>
    <row r="9" customFormat="false" ht="15" hidden="false" customHeight="false" outlineLevel="0" collapsed="false">
      <c r="A9" s="5" t="s">
        <v>288</v>
      </c>
      <c r="B9" s="6" t="n">
        <v>650000</v>
      </c>
      <c r="C9" s="6" t="n">
        <v>600000</v>
      </c>
      <c r="D9" s="6" t="n">
        <v>680000</v>
      </c>
      <c r="E9" s="7" t="n">
        <f aca="false">-(B9-C9)</f>
        <v>-50000</v>
      </c>
      <c r="F9" s="8" t="n">
        <f aca="false">IF(C9=0,"-",E9/ABS(C9))</f>
        <v>-0.0833333333333333</v>
      </c>
      <c r="G9" s="9" t="s">
        <v>59</v>
      </c>
      <c r="H9" s="7" t="n">
        <f aca="false">-(B9-D9)</f>
        <v>30000</v>
      </c>
      <c r="I9" s="8" t="n">
        <f aca="false">IF(D9=0,"-",H9/ABS(D9))</f>
        <v>0.0441176470588235</v>
      </c>
      <c r="J9" s="13" t="s">
        <v>43</v>
      </c>
    </row>
    <row r="10" customFormat="false" ht="23.85" hidden="false" customHeight="false" outlineLevel="0" collapsed="false">
      <c r="A10" s="5" t="s">
        <v>289</v>
      </c>
      <c r="B10" s="6" t="n">
        <v>800000</v>
      </c>
      <c r="C10" s="6" t="n">
        <v>200000</v>
      </c>
      <c r="D10" s="6" t="n">
        <v>1200000</v>
      </c>
      <c r="E10" s="7" t="n">
        <f aca="false">-(B10-C10)</f>
        <v>-600000</v>
      </c>
      <c r="F10" s="8" t="n">
        <f aca="false">IF(C10=0,"-",E10/ABS(C10))</f>
        <v>-3</v>
      </c>
      <c r="G10" s="9" t="s">
        <v>290</v>
      </c>
      <c r="H10" s="7" t="n">
        <f aca="false">-(B10-D10)</f>
        <v>400000</v>
      </c>
      <c r="I10" s="8" t="n">
        <f aca="false">IF(D10=0,"-",H10/ABS(D10))</f>
        <v>0.333333333333333</v>
      </c>
      <c r="J10" s="9" t="s">
        <v>291</v>
      </c>
    </row>
    <row r="11" customFormat="false" ht="15" hidden="false" customHeight="false" outlineLevel="0" collapsed="false">
      <c r="A11" s="5" t="s">
        <v>292</v>
      </c>
      <c r="B11" s="6" t="n">
        <v>1500000</v>
      </c>
      <c r="C11" s="6" t="n">
        <v>1450000</v>
      </c>
      <c r="D11" s="6" t="n">
        <v>1480000</v>
      </c>
      <c r="E11" s="7" t="n">
        <f aca="false">-(B11-C11)</f>
        <v>-50000</v>
      </c>
      <c r="F11" s="8" t="n">
        <f aca="false">IF(C11=0,"-",E11/ABS(C11))</f>
        <v>-0.0344827586206897</v>
      </c>
      <c r="G11" s="13" t="s">
        <v>43</v>
      </c>
      <c r="H11" s="7" t="n">
        <f aca="false">-(B11-D11)</f>
        <v>-20000</v>
      </c>
      <c r="I11" s="8" t="n">
        <f aca="false">IF(D11=0,"-",H11/ABS(D11))</f>
        <v>-0.0135135135135135</v>
      </c>
      <c r="J11" s="13" t="s">
        <v>43</v>
      </c>
    </row>
    <row r="12" customFormat="false" ht="15" hidden="false" customHeight="false" outlineLevel="0" collapsed="false">
      <c r="A12" s="5" t="s">
        <v>293</v>
      </c>
      <c r="B12" s="6" t="n">
        <v>695000</v>
      </c>
      <c r="C12" s="6" t="n">
        <v>660000</v>
      </c>
      <c r="D12" s="6" t="n">
        <v>678000</v>
      </c>
      <c r="E12" s="7" t="n">
        <f aca="false">-(B12-C12)</f>
        <v>-35000</v>
      </c>
      <c r="F12" s="8" t="n">
        <f aca="false">IF(C12=0,"-",E12/ABS(C12))</f>
        <v>-0.053030303030303</v>
      </c>
      <c r="G12" s="9" t="s">
        <v>59</v>
      </c>
      <c r="H12" s="7" t="n">
        <f aca="false">-(B12-D12)</f>
        <v>-17000</v>
      </c>
      <c r="I12" s="8" t="n">
        <f aca="false">IF(D12=0,"-",H12/ABS(D12))</f>
        <v>-0.0250737463126844</v>
      </c>
      <c r="J12" s="13" t="s">
        <v>43</v>
      </c>
    </row>
    <row r="13" customFormat="false" ht="15" hidden="false" customHeight="false" outlineLevel="0" collapsed="false">
      <c r="A13" s="10" t="s">
        <v>260</v>
      </c>
      <c r="B13" s="11" t="n">
        <f aca="false">B6+B7+B8+B9+B10+B11+B12</f>
        <v>16145000</v>
      </c>
      <c r="C13" s="11" t="n">
        <f aca="false">C6+C7+C8+C9+C10+C11+C12</f>
        <v>15360000</v>
      </c>
      <c r="D13" s="11" t="n">
        <f aca="false">D6+D7+D8+D9+D10+D11+D12</f>
        <v>16318000</v>
      </c>
      <c r="E13" s="11" t="n">
        <f aca="false">E6+E7+E8+E9+E10+E11+E12</f>
        <v>-785000</v>
      </c>
      <c r="F13" s="12"/>
      <c r="G13" s="12"/>
      <c r="H13" s="11" t="n">
        <f aca="false">H6+H7+H8+H9+H10+H11+H12</f>
        <v>173000</v>
      </c>
      <c r="I13" s="12"/>
      <c r="J13" s="12"/>
    </row>
  </sheetData>
  <mergeCells count="3">
    <mergeCell ref="A1:J1"/>
    <mergeCell ref="A2:J2"/>
    <mergeCell ref="A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FCE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294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262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283</v>
      </c>
      <c r="B6" s="6" t="n">
        <v>5550000</v>
      </c>
      <c r="C6" s="6" t="n">
        <v>5480000</v>
      </c>
      <c r="D6" s="7" t="n">
        <f aca="false">-(B6-C6)</f>
        <v>-70000</v>
      </c>
      <c r="E6" s="8" t="n">
        <f aca="false">IF(C6=0,"-",D6/ABS(C6))</f>
        <v>-0.0127737226277372</v>
      </c>
      <c r="F6" s="13" t="s">
        <v>43</v>
      </c>
    </row>
    <row r="7" customFormat="false" ht="15" hidden="false" customHeight="false" outlineLevel="0" collapsed="false">
      <c r="A7" s="5" t="s">
        <v>284</v>
      </c>
      <c r="B7" s="6" t="n">
        <v>16700000</v>
      </c>
      <c r="C7" s="6" t="n">
        <v>16400000</v>
      </c>
      <c r="D7" s="7" t="n">
        <f aca="false">-(B7-C7)</f>
        <v>-300000</v>
      </c>
      <c r="E7" s="8" t="n">
        <f aca="false">IF(C7=0,"-",D7/ABS(C7))</f>
        <v>-0.0182926829268293</v>
      </c>
      <c r="F7" s="13" t="s">
        <v>43</v>
      </c>
    </row>
    <row r="8" customFormat="false" ht="15" hidden="false" customHeight="false" outlineLevel="0" collapsed="false">
      <c r="A8" s="5" t="s">
        <v>285</v>
      </c>
      <c r="B8" s="6" t="n">
        <v>2700000</v>
      </c>
      <c r="C8" s="6" t="n">
        <v>2900000</v>
      </c>
      <c r="D8" s="7" t="n">
        <f aca="false">-(B8-C8)</f>
        <v>200000</v>
      </c>
      <c r="E8" s="8" t="n">
        <f aca="false">IF(C8=0,"-",D8/ABS(C8))</f>
        <v>0.0689655172413793</v>
      </c>
      <c r="F8" s="9" t="s">
        <v>295</v>
      </c>
    </row>
    <row r="9" customFormat="false" ht="15" hidden="false" customHeight="false" outlineLevel="0" collapsed="false">
      <c r="A9" s="5" t="s">
        <v>288</v>
      </c>
      <c r="B9" s="6" t="n">
        <v>1250000</v>
      </c>
      <c r="C9" s="6" t="n">
        <v>1230000</v>
      </c>
      <c r="D9" s="7" t="n">
        <f aca="false">-(B9-C9)</f>
        <v>-20000</v>
      </c>
      <c r="E9" s="8" t="n">
        <f aca="false">IF(C9=0,"-",D9/ABS(C9))</f>
        <v>-0.016260162601626</v>
      </c>
      <c r="F9" s="13" t="s">
        <v>43</v>
      </c>
    </row>
    <row r="10" customFormat="false" ht="15" hidden="false" customHeight="false" outlineLevel="0" collapsed="false">
      <c r="A10" s="5" t="s">
        <v>289</v>
      </c>
      <c r="B10" s="6" t="n">
        <v>1000000</v>
      </c>
      <c r="C10" s="6" t="n">
        <v>1600000</v>
      </c>
      <c r="D10" s="7" t="n">
        <f aca="false">-(B10-C10)</f>
        <v>600000</v>
      </c>
      <c r="E10" s="8" t="n">
        <f aca="false">IF(C10=0,"-",D10/ABS(C10))</f>
        <v>0.375</v>
      </c>
      <c r="F10" s="9" t="s">
        <v>296</v>
      </c>
    </row>
    <row r="11" customFormat="false" ht="15" hidden="false" customHeight="false" outlineLevel="0" collapsed="false">
      <c r="A11" s="5" t="s">
        <v>292</v>
      </c>
      <c r="B11" s="6" t="n">
        <v>2950000</v>
      </c>
      <c r="C11" s="6" t="n">
        <v>2880000</v>
      </c>
      <c r="D11" s="7" t="n">
        <f aca="false">-(B11-C11)</f>
        <v>-70000</v>
      </c>
      <c r="E11" s="8" t="n">
        <f aca="false">IF(C11=0,"-",D11/ABS(C11))</f>
        <v>-0.0243055555555556</v>
      </c>
      <c r="F11" s="13" t="s">
        <v>43</v>
      </c>
    </row>
    <row r="12" customFormat="false" ht="15" hidden="false" customHeight="false" outlineLevel="0" collapsed="false">
      <c r="A12" s="5" t="s">
        <v>293</v>
      </c>
      <c r="B12" s="6" t="n">
        <v>1355000</v>
      </c>
      <c r="C12" s="6" t="n">
        <v>1311000</v>
      </c>
      <c r="D12" s="7" t="n">
        <f aca="false">-(B12-C12)</f>
        <v>-44000</v>
      </c>
      <c r="E12" s="8" t="n">
        <f aca="false">IF(C12=0,"-",D12/ABS(C12))</f>
        <v>-0.0335621662852784</v>
      </c>
      <c r="F12" s="13" t="s">
        <v>43</v>
      </c>
    </row>
    <row r="13" customFormat="false" ht="15" hidden="false" customHeight="false" outlineLevel="0" collapsed="false">
      <c r="A13" s="10" t="s">
        <v>260</v>
      </c>
      <c r="B13" s="11" t="n">
        <f aca="false">B6+B7+B8+B9+B10+B11+B12</f>
        <v>31505000</v>
      </c>
      <c r="C13" s="11" t="n">
        <f aca="false">C6+C7+C8+C9+C10+C11+C12</f>
        <v>31801000</v>
      </c>
      <c r="D13" s="11" t="n">
        <f aca="false">D6+D7+D8+D9+D10+D11+D12</f>
        <v>296000</v>
      </c>
      <c r="E13" s="12"/>
      <c r="F13" s="12"/>
    </row>
  </sheetData>
  <mergeCells count="3">
    <mergeCell ref="A1:F1"/>
    <mergeCell ref="A2:F2"/>
    <mergeCell ref="A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FCE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297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266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298</v>
      </c>
      <c r="B6" s="6" t="n">
        <v>1200000</v>
      </c>
      <c r="C6" s="6" t="n">
        <v>1400000</v>
      </c>
      <c r="D6" s="7" t="n">
        <f aca="false">B6-C6</f>
        <v>-200000</v>
      </c>
      <c r="E6" s="8" t="n">
        <f aca="false">IF(C6=0,"-",D6/ABS(C6))</f>
        <v>-0.142857142857143</v>
      </c>
      <c r="F6" s="9" t="s">
        <v>299</v>
      </c>
    </row>
    <row r="7" customFormat="false" ht="15" hidden="false" customHeight="false" outlineLevel="0" collapsed="false">
      <c r="A7" s="5" t="s">
        <v>300</v>
      </c>
      <c r="B7" s="6" t="n">
        <v>4500000</v>
      </c>
      <c r="C7" s="6" t="n">
        <v>4200000</v>
      </c>
      <c r="D7" s="7" t="n">
        <f aca="false">B7-C7</f>
        <v>300000</v>
      </c>
      <c r="E7" s="8" t="n">
        <f aca="false">IF(C7=0,"-",D7/ABS(C7))</f>
        <v>0.0714285714285714</v>
      </c>
      <c r="F7" s="9" t="s">
        <v>301</v>
      </c>
    </row>
    <row r="8" customFormat="false" ht="15" hidden="false" customHeight="false" outlineLevel="0" collapsed="false">
      <c r="A8" s="10" t="s">
        <v>273</v>
      </c>
      <c r="B8" s="11" t="n">
        <f aca="false">B6+B7</f>
        <v>5700000</v>
      </c>
      <c r="C8" s="11" t="n">
        <f aca="false">C6+C7</f>
        <v>5600000</v>
      </c>
      <c r="D8" s="11" t="n">
        <f aca="false">D6+D7</f>
        <v>100000</v>
      </c>
      <c r="E8" s="12"/>
      <c r="F8" s="12"/>
    </row>
    <row r="9" customFormat="false" ht="15" hidden="false" customHeight="false" outlineLevel="0" collapsed="false">
      <c r="A9" s="4" t="s">
        <v>274</v>
      </c>
      <c r="B9" s="4"/>
      <c r="C9" s="4"/>
      <c r="D9" s="4"/>
      <c r="E9" s="4"/>
      <c r="F9" s="4"/>
    </row>
    <row r="10" customFormat="false" ht="23.85" hidden="false" customHeight="false" outlineLevel="0" collapsed="false">
      <c r="A10" s="5" t="s">
        <v>302</v>
      </c>
      <c r="B10" s="6" t="n">
        <v>3200000</v>
      </c>
      <c r="C10" s="6" t="n">
        <v>2900000</v>
      </c>
      <c r="D10" s="7" t="n">
        <f aca="false">B10-C10</f>
        <v>300000</v>
      </c>
      <c r="E10" s="8" t="n">
        <f aca="false">IF(C10=0,"-",D10/ABS(C10))</f>
        <v>0.103448275862069</v>
      </c>
      <c r="F10" s="9" t="s">
        <v>303</v>
      </c>
    </row>
    <row r="11" customFormat="false" ht="23.85" hidden="false" customHeight="false" outlineLevel="0" collapsed="false">
      <c r="A11" s="5" t="s">
        <v>304</v>
      </c>
      <c r="B11" s="6" t="n">
        <v>5800000</v>
      </c>
      <c r="C11" s="6" t="n">
        <v>2100000</v>
      </c>
      <c r="D11" s="7" t="n">
        <f aca="false">B11-C11</f>
        <v>3700000</v>
      </c>
      <c r="E11" s="8" t="n">
        <f aca="false">IF(C11=0,"-",D11/ABS(C11))</f>
        <v>1.76190476190476</v>
      </c>
      <c r="F11" s="9" t="s">
        <v>305</v>
      </c>
    </row>
    <row r="12" customFormat="false" ht="15" hidden="false" customHeight="false" outlineLevel="0" collapsed="false">
      <c r="A12" s="5" t="s">
        <v>306</v>
      </c>
      <c r="B12" s="6" t="n">
        <v>4200000</v>
      </c>
      <c r="C12" s="6" t="n">
        <v>3800000</v>
      </c>
      <c r="D12" s="7" t="n">
        <f aca="false">B12-C12</f>
        <v>400000</v>
      </c>
      <c r="E12" s="8" t="n">
        <f aca="false">IF(C12=0,"-",D12/ABS(C12))</f>
        <v>0.105263157894737</v>
      </c>
      <c r="F12" s="9" t="s">
        <v>307</v>
      </c>
    </row>
    <row r="13" customFormat="false" ht="23.85" hidden="false" customHeight="false" outlineLevel="0" collapsed="false">
      <c r="A13" s="5" t="s">
        <v>308</v>
      </c>
      <c r="B13" s="6" t="n">
        <v>2500000</v>
      </c>
      <c r="C13" s="6" t="n">
        <v>1200000</v>
      </c>
      <c r="D13" s="7" t="n">
        <f aca="false">B13-C13</f>
        <v>1300000</v>
      </c>
      <c r="E13" s="8" t="n">
        <f aca="false">IF(C13=0,"-",D13/ABS(C13))</f>
        <v>1.08333333333333</v>
      </c>
      <c r="F13" s="9" t="s">
        <v>309</v>
      </c>
    </row>
    <row r="14" customFormat="false" ht="15" hidden="false" customHeight="false" outlineLevel="0" collapsed="false">
      <c r="A14" s="5" t="s">
        <v>310</v>
      </c>
      <c r="B14" s="6" t="n">
        <v>8500000</v>
      </c>
      <c r="C14" s="6" t="n">
        <v>8200000</v>
      </c>
      <c r="D14" s="7" t="n">
        <f aca="false">B14-C14</f>
        <v>300000</v>
      </c>
      <c r="E14" s="8" t="n">
        <f aca="false">IF(C14=0,"-",D14/ABS(C14))</f>
        <v>0.0365853658536585</v>
      </c>
      <c r="F14" s="13" t="s">
        <v>43</v>
      </c>
    </row>
    <row r="15" customFormat="false" ht="15" hidden="false" customHeight="false" outlineLevel="0" collapsed="false">
      <c r="A15" s="5" t="s">
        <v>311</v>
      </c>
      <c r="B15" s="6" t="n">
        <v>4500000</v>
      </c>
      <c r="C15" s="6" t="n">
        <v>4200000</v>
      </c>
      <c r="D15" s="7" t="n">
        <f aca="false">B15-C15</f>
        <v>300000</v>
      </c>
      <c r="E15" s="8" t="n">
        <f aca="false">IF(C15=0,"-",D15/ABS(C15))</f>
        <v>0.0714285714285714</v>
      </c>
      <c r="F15" s="9" t="s">
        <v>312</v>
      </c>
    </row>
    <row r="16" customFormat="false" ht="15" hidden="false" customHeight="false" outlineLevel="0" collapsed="false">
      <c r="A16" s="10" t="s">
        <v>281</v>
      </c>
      <c r="B16" s="11" t="n">
        <f aca="false">B10+B11+B12+B13+B14+B15</f>
        <v>28700000</v>
      </c>
      <c r="C16" s="11" t="n">
        <f aca="false">C10+C11+C12+C13+C14+C15</f>
        <v>22400000</v>
      </c>
      <c r="D16" s="11" t="n">
        <f aca="false">D10+D11+D12+D13+D14+D15</f>
        <v>6300000</v>
      </c>
      <c r="E16" s="12"/>
      <c r="F16" s="12"/>
    </row>
  </sheetData>
  <mergeCells count="4">
    <mergeCell ref="A1:F1"/>
    <mergeCell ref="A2:F2"/>
    <mergeCell ref="A5:F5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314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23.85" hidden="false" customHeight="false" outlineLevel="0" collapsed="false">
      <c r="A6" s="5" t="s">
        <v>315</v>
      </c>
      <c r="B6" s="6" t="n">
        <v>1800000</v>
      </c>
      <c r="C6" s="6" t="n">
        <v>1500000</v>
      </c>
      <c r="D6" s="6" t="n">
        <v>1700000</v>
      </c>
      <c r="E6" s="7" t="n">
        <f aca="false">B6-C6</f>
        <v>300000</v>
      </c>
      <c r="F6" s="8" t="n">
        <f aca="false">IF(C6=0,"-",E6/ABS(C6))</f>
        <v>0.2</v>
      </c>
      <c r="G6" s="9" t="s">
        <v>316</v>
      </c>
      <c r="H6" s="7" t="n">
        <f aca="false">B6-D6</f>
        <v>100000</v>
      </c>
      <c r="I6" s="8" t="n">
        <f aca="false">IF(D6=0,"-",H6/ABS(D6))</f>
        <v>0.0588235294117647</v>
      </c>
      <c r="J6" s="9" t="s">
        <v>317</v>
      </c>
    </row>
    <row r="7" customFormat="false" ht="23.85" hidden="false" customHeight="false" outlineLevel="0" collapsed="false">
      <c r="A7" s="5" t="s">
        <v>318</v>
      </c>
      <c r="B7" s="6" t="n">
        <v>400000</v>
      </c>
      <c r="C7" s="6" t="n">
        <v>-200000</v>
      </c>
      <c r="D7" s="6" t="n">
        <v>600000</v>
      </c>
      <c r="E7" s="7" t="n">
        <f aca="false">B7-C7</f>
        <v>600000</v>
      </c>
      <c r="F7" s="8" t="n">
        <f aca="false">IF(C7=0,"-",E7/ABS(C7))</f>
        <v>3</v>
      </c>
      <c r="G7" s="9" t="s">
        <v>319</v>
      </c>
      <c r="H7" s="7" t="n">
        <f aca="false">B7-D7</f>
        <v>-200000</v>
      </c>
      <c r="I7" s="8" t="n">
        <f aca="false">IF(D7=0,"-",H7/ABS(D7))</f>
        <v>-0.333333333333333</v>
      </c>
      <c r="J7" s="9" t="s">
        <v>320</v>
      </c>
    </row>
    <row r="8" customFormat="false" ht="23.85" hidden="false" customHeight="false" outlineLevel="0" collapsed="false">
      <c r="A8" s="5" t="s">
        <v>321</v>
      </c>
      <c r="B8" s="6" t="n">
        <v>-150000</v>
      </c>
      <c r="C8" s="6" t="n">
        <v>200000</v>
      </c>
      <c r="D8" s="6" t="n">
        <v>-300000</v>
      </c>
      <c r="E8" s="7" t="n">
        <f aca="false">B8-C8</f>
        <v>-350000</v>
      </c>
      <c r="F8" s="8" t="n">
        <f aca="false">IF(C8=0,"-",E8/ABS(C8))</f>
        <v>-1.75</v>
      </c>
      <c r="G8" s="9" t="s">
        <v>322</v>
      </c>
      <c r="H8" s="7" t="n">
        <f aca="false">B8-D8</f>
        <v>150000</v>
      </c>
      <c r="I8" s="8" t="n">
        <f aca="false">IF(D8=0,"-",H8/ABS(D8))</f>
        <v>0.5</v>
      </c>
      <c r="J8" s="9" t="s">
        <v>323</v>
      </c>
    </row>
    <row r="9" customFormat="false" ht="15" hidden="false" customHeight="false" outlineLevel="0" collapsed="false">
      <c r="A9" s="10" t="s">
        <v>324</v>
      </c>
      <c r="B9" s="11" t="n">
        <f aca="false">B6+B7+B8</f>
        <v>2050000</v>
      </c>
      <c r="C9" s="11" t="n">
        <f aca="false">C6+C7+C8</f>
        <v>1500000</v>
      </c>
      <c r="D9" s="11" t="n">
        <f aca="false">D6+D7+D8</f>
        <v>2000000</v>
      </c>
      <c r="E9" s="11" t="n">
        <f aca="false">E6+E7+E8</f>
        <v>550000</v>
      </c>
      <c r="F9" s="12"/>
      <c r="G9" s="12"/>
      <c r="H9" s="11" t="n">
        <f aca="false">H6+H7+H8</f>
        <v>50000</v>
      </c>
      <c r="I9" s="12"/>
      <c r="J9" s="12"/>
    </row>
    <row r="11" customFormat="false" ht="15" hidden="false" customHeight="false" outlineLevel="0" collapsed="false">
      <c r="A11" s="4" t="s">
        <v>248</v>
      </c>
      <c r="B11" s="4"/>
      <c r="C11" s="4"/>
      <c r="D11" s="4"/>
      <c r="E11" s="4"/>
      <c r="F11" s="4"/>
      <c r="G11" s="4"/>
      <c r="H11" s="4"/>
      <c r="I11" s="4"/>
      <c r="J11" s="4"/>
    </row>
    <row r="12" customFormat="false" ht="15" hidden="false" customHeight="false" outlineLevel="0" collapsed="false">
      <c r="A12" s="5" t="s">
        <v>325</v>
      </c>
      <c r="B12" s="6" t="n">
        <v>4200000</v>
      </c>
      <c r="C12" s="6" t="n">
        <v>4100000</v>
      </c>
      <c r="D12" s="6" t="n">
        <v>4150000</v>
      </c>
      <c r="E12" s="7" t="n">
        <f aca="false">-(B12-C12)</f>
        <v>-100000</v>
      </c>
      <c r="F12" s="8" t="n">
        <f aca="false">IF(C12=0,"-",E12/ABS(C12))</f>
        <v>-0.024390243902439</v>
      </c>
      <c r="G12" s="13" t="s">
        <v>43</v>
      </c>
      <c r="H12" s="7" t="n">
        <f aca="false">-(B12-D12)</f>
        <v>-50000</v>
      </c>
      <c r="I12" s="8" t="n">
        <f aca="false">IF(D12=0,"-",H12/ABS(D12))</f>
        <v>-0.0120481927710843</v>
      </c>
      <c r="J12" s="13" t="s">
        <v>43</v>
      </c>
    </row>
    <row r="13" customFormat="false" ht="15" hidden="false" customHeight="false" outlineLevel="0" collapsed="false">
      <c r="A13" s="5" t="s">
        <v>326</v>
      </c>
      <c r="B13" s="6" t="n">
        <v>1800000</v>
      </c>
      <c r="C13" s="6" t="n">
        <v>1750000</v>
      </c>
      <c r="D13" s="6" t="n">
        <v>1780000</v>
      </c>
      <c r="E13" s="7" t="n">
        <f aca="false">-(B13-C13)</f>
        <v>-50000</v>
      </c>
      <c r="F13" s="8" t="n">
        <f aca="false">IF(C13=0,"-",E13/ABS(C13))</f>
        <v>-0.0285714285714286</v>
      </c>
      <c r="G13" s="13" t="s">
        <v>43</v>
      </c>
      <c r="H13" s="7" t="n">
        <f aca="false">-(B13-D13)</f>
        <v>-20000</v>
      </c>
      <c r="I13" s="8" t="n">
        <f aca="false">IF(D13=0,"-",H13/ABS(D13))</f>
        <v>-0.0112359550561798</v>
      </c>
      <c r="J13" s="13" t="s">
        <v>43</v>
      </c>
    </row>
    <row r="14" customFormat="false" ht="15" hidden="false" customHeight="false" outlineLevel="0" collapsed="false">
      <c r="A14" s="5" t="s">
        <v>327</v>
      </c>
      <c r="B14" s="6" t="n">
        <v>450000</v>
      </c>
      <c r="C14" s="6" t="n">
        <v>420000</v>
      </c>
      <c r="D14" s="6" t="n">
        <v>440000</v>
      </c>
      <c r="E14" s="7" t="n">
        <f aca="false">-(B14-C14)</f>
        <v>-30000</v>
      </c>
      <c r="F14" s="8" t="n">
        <f aca="false">IF(C14=0,"-",E14/ABS(C14))</f>
        <v>-0.0714285714285714</v>
      </c>
      <c r="G14" s="9" t="s">
        <v>59</v>
      </c>
      <c r="H14" s="7" t="n">
        <f aca="false">-(B14-D14)</f>
        <v>-10000</v>
      </c>
      <c r="I14" s="8" t="n">
        <f aca="false">IF(D14=0,"-",H14/ABS(D14))</f>
        <v>-0.0227272727272727</v>
      </c>
      <c r="J14" s="13" t="s">
        <v>43</v>
      </c>
    </row>
    <row r="15" customFormat="false" ht="15" hidden="false" customHeight="false" outlineLevel="0" collapsed="false">
      <c r="A15" s="5" t="s">
        <v>328</v>
      </c>
      <c r="B15" s="6" t="n">
        <v>750000</v>
      </c>
      <c r="C15" s="6" t="n">
        <v>700000</v>
      </c>
      <c r="D15" s="6" t="n">
        <v>730000</v>
      </c>
      <c r="E15" s="7" t="n">
        <f aca="false">-(B15-C15)</f>
        <v>-50000</v>
      </c>
      <c r="F15" s="8" t="n">
        <f aca="false">IF(C15=0,"-",E15/ABS(C15))</f>
        <v>-0.0714285714285714</v>
      </c>
      <c r="G15" s="9" t="s">
        <v>59</v>
      </c>
      <c r="H15" s="7" t="n">
        <f aca="false">-(B15-D15)</f>
        <v>-20000</v>
      </c>
      <c r="I15" s="8" t="n">
        <f aca="false">IF(D15=0,"-",H15/ABS(D15))</f>
        <v>-0.0273972602739726</v>
      </c>
      <c r="J15" s="13" t="s">
        <v>43</v>
      </c>
    </row>
    <row r="16" customFormat="false" ht="15" hidden="false" customHeight="false" outlineLevel="0" collapsed="false">
      <c r="A16" s="5" t="s">
        <v>329</v>
      </c>
      <c r="B16" s="6" t="n">
        <v>600000</v>
      </c>
      <c r="C16" s="6" t="n">
        <v>560000</v>
      </c>
      <c r="D16" s="6" t="n">
        <v>580000</v>
      </c>
      <c r="E16" s="7" t="n">
        <f aca="false">-(B16-C16)</f>
        <v>-40000</v>
      </c>
      <c r="F16" s="8" t="n">
        <f aca="false">IF(C16=0,"-",E16/ABS(C16))</f>
        <v>-0.0714285714285714</v>
      </c>
      <c r="G16" s="9" t="s">
        <v>59</v>
      </c>
      <c r="H16" s="7" t="n">
        <f aca="false">-(B16-D16)</f>
        <v>-20000</v>
      </c>
      <c r="I16" s="8" t="n">
        <f aca="false">IF(D16=0,"-",H16/ABS(D16))</f>
        <v>-0.0344827586206897</v>
      </c>
      <c r="J16" s="13" t="s">
        <v>43</v>
      </c>
    </row>
    <row r="17" customFormat="false" ht="15" hidden="false" customHeight="false" outlineLevel="0" collapsed="false">
      <c r="A17" s="5" t="s">
        <v>330</v>
      </c>
      <c r="B17" s="6" t="n">
        <v>280000</v>
      </c>
      <c r="C17" s="6" t="n">
        <v>270000</v>
      </c>
      <c r="D17" s="6" t="n">
        <v>275000</v>
      </c>
      <c r="E17" s="7" t="n">
        <f aca="false">-(B17-C17)</f>
        <v>-10000</v>
      </c>
      <c r="F17" s="8" t="n">
        <f aca="false">IF(C17=0,"-",E17/ABS(C17))</f>
        <v>-0.037037037037037</v>
      </c>
      <c r="G17" s="13" t="s">
        <v>43</v>
      </c>
      <c r="H17" s="7" t="n">
        <f aca="false">-(B17-D17)</f>
        <v>-5000</v>
      </c>
      <c r="I17" s="8" t="n">
        <f aca="false">IF(D17=0,"-",H17/ABS(D17))</f>
        <v>-0.0181818181818182</v>
      </c>
      <c r="J17" s="13" t="s">
        <v>43</v>
      </c>
    </row>
    <row r="18" customFormat="false" ht="15" hidden="false" customHeight="false" outlineLevel="0" collapsed="false">
      <c r="A18" s="5" t="s">
        <v>331</v>
      </c>
      <c r="B18" s="6" t="n">
        <v>1200000</v>
      </c>
      <c r="C18" s="6" t="n">
        <v>1150000</v>
      </c>
      <c r="D18" s="6" t="n">
        <v>1180000</v>
      </c>
      <c r="E18" s="7" t="n">
        <f aca="false">-(B18-C18)</f>
        <v>-50000</v>
      </c>
      <c r="F18" s="8" t="n">
        <f aca="false">IF(C18=0,"-",E18/ABS(C18))</f>
        <v>-0.0434782608695652</v>
      </c>
      <c r="G18" s="13" t="s">
        <v>43</v>
      </c>
      <c r="H18" s="7" t="n">
        <f aca="false">-(B18-D18)</f>
        <v>-20000</v>
      </c>
      <c r="I18" s="8" t="n">
        <f aca="false">IF(D18=0,"-",H18/ABS(D18))</f>
        <v>-0.0169491525423729</v>
      </c>
      <c r="J18" s="13" t="s">
        <v>43</v>
      </c>
    </row>
    <row r="19" customFormat="false" ht="15" hidden="false" customHeight="false" outlineLevel="0" collapsed="false">
      <c r="A19" s="5" t="s">
        <v>332</v>
      </c>
      <c r="B19" s="6" t="n">
        <v>2130000</v>
      </c>
      <c r="C19" s="6" t="n">
        <v>2090000</v>
      </c>
      <c r="D19" s="6" t="n">
        <v>2105000</v>
      </c>
      <c r="E19" s="7" t="n">
        <f aca="false">-(B19-C19)</f>
        <v>-40000</v>
      </c>
      <c r="F19" s="8" t="n">
        <f aca="false">IF(C19=0,"-",E19/ABS(C19))</f>
        <v>-0.0191387559808612</v>
      </c>
      <c r="G19" s="13" t="s">
        <v>43</v>
      </c>
      <c r="H19" s="7" t="n">
        <f aca="false">-(B19-D19)</f>
        <v>-25000</v>
      </c>
      <c r="I19" s="8" t="n">
        <f aca="false">IF(D19=0,"-",H19/ABS(D19))</f>
        <v>-0.0118764845605701</v>
      </c>
      <c r="J19" s="13" t="s">
        <v>43</v>
      </c>
    </row>
    <row r="20" customFormat="false" ht="15" hidden="false" customHeight="false" outlineLevel="0" collapsed="false">
      <c r="A20" s="10" t="s">
        <v>260</v>
      </c>
      <c r="B20" s="11" t="n">
        <f aca="false">B12+B13+B14+B15+B16+B17+B18+B19</f>
        <v>11410000</v>
      </c>
      <c r="C20" s="11" t="n">
        <f aca="false">C12+C13+C14+C15+C16+C17+C18+C19</f>
        <v>11040000</v>
      </c>
      <c r="D20" s="11" t="n">
        <f aca="false">D12+D13+D14+D15+D16+D17+D18+D19</f>
        <v>11240000</v>
      </c>
      <c r="E20" s="11" t="n">
        <f aca="false">E12+E13+E14+E15+E16+E17+E18+E19</f>
        <v>-370000</v>
      </c>
      <c r="F20" s="12"/>
      <c r="G20" s="12"/>
      <c r="H20" s="11" t="n">
        <f aca="false">H12+H13+H14+H15+H16+H17+H18+H19</f>
        <v>-170000</v>
      </c>
      <c r="I20" s="12"/>
      <c r="J20" s="12"/>
    </row>
  </sheetData>
  <mergeCells count="4">
    <mergeCell ref="A1:J1"/>
    <mergeCell ref="A2:J2"/>
    <mergeCell ref="A5:J5"/>
    <mergeCell ref="A11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333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262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314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315</v>
      </c>
      <c r="B6" s="6" t="n">
        <v>3300000</v>
      </c>
      <c r="C6" s="6" t="n">
        <v>2900000</v>
      </c>
      <c r="D6" s="7" t="n">
        <f aca="false">B6-C6</f>
        <v>400000</v>
      </c>
      <c r="E6" s="8" t="n">
        <f aca="false">IF(C6=0,"-",D6/ABS(C6))</f>
        <v>0.137931034482759</v>
      </c>
      <c r="F6" s="9" t="s">
        <v>334</v>
      </c>
    </row>
    <row r="7" customFormat="false" ht="15" hidden="false" customHeight="false" outlineLevel="0" collapsed="false">
      <c r="A7" s="5" t="s">
        <v>318</v>
      </c>
      <c r="B7" s="6" t="n">
        <v>200000</v>
      </c>
      <c r="C7" s="6" t="n">
        <v>100000</v>
      </c>
      <c r="D7" s="7" t="n">
        <f aca="false">B7-C7</f>
        <v>100000</v>
      </c>
      <c r="E7" s="8" t="n">
        <f aca="false">IF(C7=0,"-",D7/ABS(C7))</f>
        <v>1</v>
      </c>
      <c r="F7" s="9" t="s">
        <v>335</v>
      </c>
    </row>
    <row r="8" customFormat="false" ht="15" hidden="false" customHeight="false" outlineLevel="0" collapsed="false">
      <c r="A8" s="5" t="s">
        <v>321</v>
      </c>
      <c r="B8" s="6" t="n">
        <v>50000</v>
      </c>
      <c r="C8" s="6" t="n">
        <v>-200000</v>
      </c>
      <c r="D8" s="7" t="n">
        <f aca="false">B8-C8</f>
        <v>250000</v>
      </c>
      <c r="E8" s="8" t="n">
        <f aca="false">IF(C8=0,"-",D8/ABS(C8))</f>
        <v>1.25</v>
      </c>
      <c r="F8" s="9" t="s">
        <v>336</v>
      </c>
    </row>
    <row r="9" customFormat="false" ht="15" hidden="false" customHeight="false" outlineLevel="0" collapsed="false">
      <c r="A9" s="10" t="s">
        <v>324</v>
      </c>
      <c r="B9" s="11" t="n">
        <f aca="false">B6+B7+B8</f>
        <v>3550000</v>
      </c>
      <c r="C9" s="11" t="n">
        <f aca="false">C6+C7+C8</f>
        <v>2800000</v>
      </c>
      <c r="D9" s="11" t="n">
        <f aca="false">D6+D7+D8</f>
        <v>750000</v>
      </c>
      <c r="E9" s="12"/>
      <c r="F9" s="12"/>
    </row>
    <row r="11" customFormat="false" ht="15" hidden="false" customHeight="false" outlineLevel="0" collapsed="false">
      <c r="A11" s="4" t="s">
        <v>248</v>
      </c>
      <c r="B11" s="4"/>
      <c r="C11" s="4"/>
      <c r="D11" s="4"/>
      <c r="E11" s="4"/>
      <c r="F11" s="4"/>
    </row>
    <row r="12" customFormat="false" ht="15" hidden="false" customHeight="false" outlineLevel="0" collapsed="false">
      <c r="A12" s="5" t="s">
        <v>325</v>
      </c>
      <c r="B12" s="6" t="n">
        <v>8300000</v>
      </c>
      <c r="C12" s="6" t="n">
        <v>8150000</v>
      </c>
      <c r="D12" s="7" t="n">
        <f aca="false">-(B12-C12)</f>
        <v>-150000</v>
      </c>
      <c r="E12" s="8" t="n">
        <f aca="false">IF(C12=0,"-",D12/ABS(C12))</f>
        <v>-0.0184049079754601</v>
      </c>
      <c r="F12" s="13" t="s">
        <v>43</v>
      </c>
    </row>
    <row r="13" customFormat="false" ht="15" hidden="false" customHeight="false" outlineLevel="0" collapsed="false">
      <c r="A13" s="5" t="s">
        <v>326</v>
      </c>
      <c r="B13" s="6" t="n">
        <v>3550000</v>
      </c>
      <c r="C13" s="6" t="n">
        <v>3480000</v>
      </c>
      <c r="D13" s="7" t="n">
        <f aca="false">-(B13-C13)</f>
        <v>-70000</v>
      </c>
      <c r="E13" s="8" t="n">
        <f aca="false">IF(C13=0,"-",D13/ABS(C13))</f>
        <v>-0.0201149425287356</v>
      </c>
      <c r="F13" s="13" t="s">
        <v>43</v>
      </c>
    </row>
    <row r="14" customFormat="false" ht="15" hidden="false" customHeight="false" outlineLevel="0" collapsed="false">
      <c r="A14" s="5" t="s">
        <v>327</v>
      </c>
      <c r="B14" s="6" t="n">
        <v>870000</v>
      </c>
      <c r="C14" s="6" t="n">
        <v>840000</v>
      </c>
      <c r="D14" s="7" t="n">
        <f aca="false">-(B14-C14)</f>
        <v>-30000</v>
      </c>
      <c r="E14" s="8" t="n">
        <f aca="false">IF(C14=0,"-",D14/ABS(C14))</f>
        <v>-0.0357142857142857</v>
      </c>
      <c r="F14" s="13" t="s">
        <v>43</v>
      </c>
    </row>
    <row r="15" customFormat="false" ht="15" hidden="false" customHeight="false" outlineLevel="0" collapsed="false">
      <c r="A15" s="5" t="s">
        <v>328</v>
      </c>
      <c r="B15" s="6" t="n">
        <v>1450000</v>
      </c>
      <c r="C15" s="6" t="n">
        <v>1410000</v>
      </c>
      <c r="D15" s="7" t="n">
        <f aca="false">-(B15-C15)</f>
        <v>-40000</v>
      </c>
      <c r="E15" s="8" t="n">
        <f aca="false">IF(C15=0,"-",D15/ABS(C15))</f>
        <v>-0.0283687943262411</v>
      </c>
      <c r="F15" s="13" t="s">
        <v>43</v>
      </c>
    </row>
    <row r="16" customFormat="false" ht="15" hidden="false" customHeight="false" outlineLevel="0" collapsed="false">
      <c r="A16" s="5" t="s">
        <v>329</v>
      </c>
      <c r="B16" s="6" t="n">
        <v>1160000</v>
      </c>
      <c r="C16" s="6" t="n">
        <v>1120000</v>
      </c>
      <c r="D16" s="7" t="n">
        <f aca="false">-(B16-C16)</f>
        <v>-40000</v>
      </c>
      <c r="E16" s="8" t="n">
        <f aca="false">IF(C16=0,"-",D16/ABS(C16))</f>
        <v>-0.0357142857142857</v>
      </c>
      <c r="F16" s="13" t="s">
        <v>43</v>
      </c>
    </row>
    <row r="17" customFormat="false" ht="15" hidden="false" customHeight="false" outlineLevel="0" collapsed="false">
      <c r="A17" s="5" t="s">
        <v>330</v>
      </c>
      <c r="B17" s="6" t="n">
        <v>550000</v>
      </c>
      <c r="C17" s="6" t="n">
        <v>535000</v>
      </c>
      <c r="D17" s="7" t="n">
        <f aca="false">-(B17-C17)</f>
        <v>-15000</v>
      </c>
      <c r="E17" s="8" t="n">
        <f aca="false">IF(C17=0,"-",D17/ABS(C17))</f>
        <v>-0.0280373831775701</v>
      </c>
      <c r="F17" s="13" t="s">
        <v>43</v>
      </c>
    </row>
    <row r="18" customFormat="false" ht="15" hidden="false" customHeight="false" outlineLevel="0" collapsed="false">
      <c r="A18" s="5" t="s">
        <v>331</v>
      </c>
      <c r="B18" s="6" t="n">
        <v>2350000</v>
      </c>
      <c r="C18" s="6" t="n">
        <v>2280000</v>
      </c>
      <c r="D18" s="7" t="n">
        <f aca="false">-(B18-C18)</f>
        <v>-70000</v>
      </c>
      <c r="E18" s="8" t="n">
        <f aca="false">IF(C18=0,"-",D18/ABS(C18))</f>
        <v>-0.0307017543859649</v>
      </c>
      <c r="F18" s="13" t="s">
        <v>43</v>
      </c>
    </row>
    <row r="19" customFormat="false" ht="15" hidden="false" customHeight="false" outlineLevel="0" collapsed="false">
      <c r="A19" s="5" t="s">
        <v>332</v>
      </c>
      <c r="B19" s="6" t="n">
        <v>4220000</v>
      </c>
      <c r="C19" s="6" t="n">
        <v>4155000</v>
      </c>
      <c r="D19" s="7" t="n">
        <f aca="false">-(B19-C19)</f>
        <v>-65000</v>
      </c>
      <c r="E19" s="8" t="n">
        <f aca="false">IF(C19=0,"-",D19/ABS(C19))</f>
        <v>-0.0156438026474128</v>
      </c>
      <c r="F19" s="13" t="s">
        <v>43</v>
      </c>
    </row>
    <row r="20" customFormat="false" ht="15" hidden="false" customHeight="false" outlineLevel="0" collapsed="false">
      <c r="A20" s="10" t="s">
        <v>260</v>
      </c>
      <c r="B20" s="11" t="n">
        <f aca="false">B12+B13+B14+B15+B16+B17+B18+B19</f>
        <v>22450000</v>
      </c>
      <c r="C20" s="11" t="n">
        <f aca="false">C12+C13+C14+C15+C16+C17+C18+C19</f>
        <v>21970000</v>
      </c>
      <c r="D20" s="11" t="n">
        <f aca="false">D12+D13+D14+D15+D16+D17+D18+D19</f>
        <v>-480000</v>
      </c>
      <c r="E20" s="12"/>
      <c r="F20" s="12"/>
    </row>
  </sheetData>
  <mergeCells count="4">
    <mergeCell ref="A1:F1"/>
    <mergeCell ref="A2:F2"/>
    <mergeCell ref="A5:F5"/>
    <mergeCell ref="A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337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266</v>
      </c>
      <c r="B5" s="4"/>
      <c r="C5" s="4"/>
      <c r="D5" s="4"/>
      <c r="E5" s="4"/>
      <c r="F5" s="4"/>
    </row>
    <row r="6" customFormat="false" ht="35.05" hidden="false" customHeight="false" outlineLevel="0" collapsed="false">
      <c r="A6" s="5" t="s">
        <v>338</v>
      </c>
      <c r="B6" s="6" t="n">
        <v>85000000</v>
      </c>
      <c r="C6" s="6" t="n">
        <v>92000000</v>
      </c>
      <c r="D6" s="7" t="n">
        <f aca="false">B6-C6</f>
        <v>-7000000</v>
      </c>
      <c r="E6" s="8" t="n">
        <f aca="false">IF(C6=0,"-",D6/ABS(C6))</f>
        <v>-0.0760869565217391</v>
      </c>
      <c r="F6" s="9" t="s">
        <v>339</v>
      </c>
    </row>
    <row r="7" customFormat="false" ht="15" hidden="false" customHeight="false" outlineLevel="0" collapsed="false">
      <c r="A7" s="5" t="s">
        <v>340</v>
      </c>
      <c r="B7" s="6" t="n">
        <v>45000000</v>
      </c>
      <c r="C7" s="6" t="n">
        <v>38000000</v>
      </c>
      <c r="D7" s="7" t="n">
        <f aca="false">B7-C7</f>
        <v>7000000</v>
      </c>
      <c r="E7" s="8" t="n">
        <f aca="false">IF(C7=0,"-",D7/ABS(C7))</f>
        <v>0.184210526315789</v>
      </c>
      <c r="F7" s="9" t="s">
        <v>341</v>
      </c>
    </row>
    <row r="8" customFormat="false" ht="15" hidden="false" customHeight="false" outlineLevel="0" collapsed="false">
      <c r="A8" s="5" t="s">
        <v>342</v>
      </c>
      <c r="B8" s="6" t="n">
        <v>8500000</v>
      </c>
      <c r="C8" s="6" t="n">
        <v>7200000</v>
      </c>
      <c r="D8" s="7" t="n">
        <f aca="false">B8-C8</f>
        <v>1300000</v>
      </c>
      <c r="E8" s="8" t="n">
        <f aca="false">IF(C8=0,"-",D8/ABS(C8))</f>
        <v>0.180555555555556</v>
      </c>
      <c r="F8" s="9" t="s">
        <v>343</v>
      </c>
    </row>
    <row r="9" customFormat="false" ht="23.85" hidden="false" customHeight="false" outlineLevel="0" collapsed="false">
      <c r="A9" s="5" t="s">
        <v>344</v>
      </c>
      <c r="B9" s="6" t="n">
        <v>12000000</v>
      </c>
      <c r="C9" s="6" t="n">
        <v>11500000</v>
      </c>
      <c r="D9" s="7" t="n">
        <f aca="false">B9-C9</f>
        <v>500000</v>
      </c>
      <c r="E9" s="8" t="n">
        <f aca="false">IF(C9=0,"-",D9/ABS(C9))</f>
        <v>0.0434782608695652</v>
      </c>
      <c r="F9" s="9" t="s">
        <v>345</v>
      </c>
    </row>
    <row r="10" customFormat="false" ht="15" hidden="false" customHeight="false" outlineLevel="0" collapsed="false">
      <c r="A10" s="5" t="s">
        <v>346</v>
      </c>
      <c r="B10" s="6" t="n">
        <v>125000000</v>
      </c>
      <c r="C10" s="6" t="n">
        <v>125000000</v>
      </c>
      <c r="D10" s="7" t="n">
        <f aca="false">B10-C10</f>
        <v>0</v>
      </c>
      <c r="E10" s="8" t="n">
        <f aca="false">IF(C10=0,"-",D10/ABS(C10))</f>
        <v>0</v>
      </c>
      <c r="F10" s="13" t="s">
        <v>43</v>
      </c>
    </row>
    <row r="11" customFormat="false" ht="15" hidden="false" customHeight="false" outlineLevel="0" collapsed="false">
      <c r="A11" s="5" t="s">
        <v>347</v>
      </c>
      <c r="B11" s="6" t="n">
        <v>38000000</v>
      </c>
      <c r="C11" s="6" t="n">
        <v>39500000</v>
      </c>
      <c r="D11" s="7" t="n">
        <f aca="false">B11-C11</f>
        <v>-1500000</v>
      </c>
      <c r="E11" s="8" t="n">
        <f aca="false">IF(C11=0,"-",D11/ABS(C11))</f>
        <v>-0.0379746835443038</v>
      </c>
      <c r="F11" s="9" t="s">
        <v>348</v>
      </c>
    </row>
    <row r="12" customFormat="false" ht="15" hidden="false" customHeight="false" outlineLevel="0" collapsed="false">
      <c r="A12" s="5" t="s">
        <v>349</v>
      </c>
      <c r="B12" s="6" t="n">
        <v>15000000</v>
      </c>
      <c r="C12" s="6" t="n">
        <v>16200000</v>
      </c>
      <c r="D12" s="7" t="n">
        <f aca="false">B12-C12</f>
        <v>-1200000</v>
      </c>
      <c r="E12" s="8" t="n">
        <f aca="false">IF(C12=0,"-",D12/ABS(C12))</f>
        <v>-0.0740740740740741</v>
      </c>
      <c r="F12" s="9" t="s">
        <v>350</v>
      </c>
    </row>
    <row r="13" customFormat="false" ht="15" hidden="false" customHeight="false" outlineLevel="0" collapsed="false">
      <c r="A13" s="5" t="s">
        <v>351</v>
      </c>
      <c r="B13" s="6" t="n">
        <v>3500000</v>
      </c>
      <c r="C13" s="6" t="n">
        <v>3200000</v>
      </c>
      <c r="D13" s="7" t="n">
        <f aca="false">B13-C13</f>
        <v>300000</v>
      </c>
      <c r="E13" s="8" t="n">
        <f aca="false">IF(C13=0,"-",D13/ABS(C13))</f>
        <v>0.09375</v>
      </c>
      <c r="F13" s="9" t="s">
        <v>352</v>
      </c>
    </row>
    <row r="14" customFormat="false" ht="15" hidden="false" customHeight="false" outlineLevel="0" collapsed="false">
      <c r="A14" s="10" t="s">
        <v>273</v>
      </c>
      <c r="B14" s="11" t="n">
        <f aca="false">B6+B7+B8+B9+B10+B11+B12+B13</f>
        <v>332000000</v>
      </c>
      <c r="C14" s="11" t="n">
        <f aca="false">C6+C7+C8+C9+C10+C11+C12+C13</f>
        <v>332600000</v>
      </c>
      <c r="D14" s="11" t="n">
        <f aca="false">D6+D7+D8+D9+D10+D11+D12+D13</f>
        <v>-600000</v>
      </c>
      <c r="E14" s="12"/>
      <c r="F14" s="12"/>
    </row>
    <row r="15" customFormat="false" ht="15" hidden="false" customHeight="false" outlineLevel="0" collapsed="false">
      <c r="A15" s="4" t="s">
        <v>274</v>
      </c>
      <c r="B15" s="4"/>
      <c r="C15" s="4"/>
      <c r="D15" s="4"/>
      <c r="E15" s="4"/>
      <c r="F15" s="4"/>
    </row>
    <row r="16" customFormat="false" ht="15" hidden="false" customHeight="false" outlineLevel="0" collapsed="false">
      <c r="A16" s="5" t="s">
        <v>353</v>
      </c>
      <c r="B16" s="6" t="n">
        <v>18000000</v>
      </c>
      <c r="C16" s="6" t="n">
        <v>15000000</v>
      </c>
      <c r="D16" s="7" t="n">
        <f aca="false">B16-C16</f>
        <v>3000000</v>
      </c>
      <c r="E16" s="8" t="n">
        <f aca="false">IF(C16=0,"-",D16/ABS(C16))</f>
        <v>0.2</v>
      </c>
      <c r="F16" s="9" t="s">
        <v>354</v>
      </c>
    </row>
    <row r="17" customFormat="false" ht="15" hidden="false" customHeight="false" outlineLevel="0" collapsed="false">
      <c r="A17" s="5" t="s">
        <v>355</v>
      </c>
      <c r="B17" s="6" t="n">
        <v>4200000</v>
      </c>
      <c r="C17" s="6" t="n">
        <v>3500000</v>
      </c>
      <c r="D17" s="7" t="n">
        <f aca="false">B17-C17</f>
        <v>700000</v>
      </c>
      <c r="E17" s="8" t="n">
        <f aca="false">IF(C17=0,"-",D17/ABS(C17))</f>
        <v>0.2</v>
      </c>
      <c r="F17" s="9" t="s">
        <v>356</v>
      </c>
    </row>
    <row r="18" customFormat="false" ht="15" hidden="false" customHeight="false" outlineLevel="0" collapsed="false">
      <c r="A18" s="5" t="s">
        <v>357</v>
      </c>
      <c r="B18" s="6" t="n">
        <v>8500000</v>
      </c>
      <c r="C18" s="6" t="n">
        <v>7200000</v>
      </c>
      <c r="D18" s="7" t="n">
        <f aca="false">B18-C18</f>
        <v>1300000</v>
      </c>
      <c r="E18" s="8" t="n">
        <f aca="false">IF(C18=0,"-",D18/ABS(C18))</f>
        <v>0.180555555555556</v>
      </c>
      <c r="F18" s="9" t="s">
        <v>358</v>
      </c>
    </row>
    <row r="19" customFormat="false" ht="15" hidden="false" customHeight="false" outlineLevel="0" collapsed="false">
      <c r="A19" s="5" t="s">
        <v>359</v>
      </c>
      <c r="B19" s="6" t="n">
        <v>85000000</v>
      </c>
      <c r="C19" s="6" t="n">
        <v>90000000</v>
      </c>
      <c r="D19" s="7" t="n">
        <f aca="false">B19-C19</f>
        <v>-5000000</v>
      </c>
      <c r="E19" s="8" t="n">
        <f aca="false">IF(C19=0,"-",D19/ABS(C19))</f>
        <v>-0.0555555555555556</v>
      </c>
      <c r="F19" s="9" t="s">
        <v>360</v>
      </c>
    </row>
    <row r="20" customFormat="false" ht="15" hidden="false" customHeight="false" outlineLevel="0" collapsed="false">
      <c r="A20" s="5" t="s">
        <v>361</v>
      </c>
      <c r="B20" s="6" t="n">
        <v>22000000</v>
      </c>
      <c r="C20" s="6" t="n">
        <v>19500000</v>
      </c>
      <c r="D20" s="7" t="n">
        <f aca="false">B20-C20</f>
        <v>2500000</v>
      </c>
      <c r="E20" s="8" t="n">
        <f aca="false">IF(C20=0,"-",D20/ABS(C20))</f>
        <v>0.128205128205128</v>
      </c>
      <c r="F20" s="9" t="s">
        <v>362</v>
      </c>
    </row>
    <row r="21" customFormat="false" ht="15" hidden="false" customHeight="false" outlineLevel="0" collapsed="false">
      <c r="A21" s="5" t="s">
        <v>363</v>
      </c>
      <c r="B21" s="6" t="n">
        <v>8200000</v>
      </c>
      <c r="C21" s="6" t="n">
        <v>7800000</v>
      </c>
      <c r="D21" s="7" t="n">
        <f aca="false">B21-C21</f>
        <v>400000</v>
      </c>
      <c r="E21" s="8" t="n">
        <f aca="false">IF(C21=0,"-",D21/ABS(C21))</f>
        <v>0.0512820512820513</v>
      </c>
      <c r="F21" s="9" t="s">
        <v>364</v>
      </c>
    </row>
    <row r="22" customFormat="false" ht="15" hidden="false" customHeight="false" outlineLevel="0" collapsed="false">
      <c r="A22" s="5" t="s">
        <v>365</v>
      </c>
      <c r="B22" s="6" t="n">
        <v>15500000</v>
      </c>
      <c r="C22" s="6" t="n">
        <v>16800000</v>
      </c>
      <c r="D22" s="7" t="n">
        <f aca="false">B22-C22</f>
        <v>-1300000</v>
      </c>
      <c r="E22" s="8" t="n">
        <f aca="false">IF(C22=0,"-",D22/ABS(C22))</f>
        <v>-0.0773809523809524</v>
      </c>
      <c r="F22" s="9" t="s">
        <v>366</v>
      </c>
    </row>
    <row r="23" customFormat="false" ht="15" hidden="false" customHeight="false" outlineLevel="0" collapsed="false">
      <c r="A23" s="5" t="s">
        <v>367</v>
      </c>
      <c r="B23" s="6" t="n">
        <v>180000000</v>
      </c>
      <c r="C23" s="6" t="n">
        <v>178000000</v>
      </c>
      <c r="D23" s="7" t="n">
        <f aca="false">B23-C23</f>
        <v>2000000</v>
      </c>
      <c r="E23" s="8" t="n">
        <f aca="false">IF(C23=0,"-",D23/ABS(C23))</f>
        <v>0.0112359550561798</v>
      </c>
      <c r="F23" s="9" t="s">
        <v>368</v>
      </c>
    </row>
    <row r="24" customFormat="false" ht="15" hidden="false" customHeight="false" outlineLevel="0" collapsed="false">
      <c r="A24" s="5" t="s">
        <v>369</v>
      </c>
      <c r="B24" s="6" t="n">
        <v>62000000</v>
      </c>
      <c r="C24" s="6" t="n">
        <v>58000000</v>
      </c>
      <c r="D24" s="7" t="n">
        <f aca="false">B24-C24</f>
        <v>4000000</v>
      </c>
      <c r="E24" s="8" t="n">
        <f aca="false">IF(C24=0,"-",D24/ABS(C24))</f>
        <v>0.0689655172413793</v>
      </c>
      <c r="F24" s="9" t="s">
        <v>370</v>
      </c>
    </row>
    <row r="25" customFormat="false" ht="15" hidden="false" customHeight="false" outlineLevel="0" collapsed="false">
      <c r="A25" s="5" t="s">
        <v>371</v>
      </c>
      <c r="B25" s="6" t="n">
        <v>-25000000</v>
      </c>
      <c r="C25" s="6" t="n">
        <v>-22000000</v>
      </c>
      <c r="D25" s="7" t="n">
        <f aca="false">B25-C25</f>
        <v>-3000000</v>
      </c>
      <c r="E25" s="8" t="n">
        <f aca="false">IF(C25=0,"-",D25/ABS(C25))</f>
        <v>-0.136363636363636</v>
      </c>
      <c r="F25" s="9" t="s">
        <v>372</v>
      </c>
    </row>
    <row r="26" customFormat="false" ht="23.85" hidden="false" customHeight="false" outlineLevel="0" collapsed="false">
      <c r="A26" s="5" t="s">
        <v>373</v>
      </c>
      <c r="B26" s="6" t="n">
        <v>-3500000</v>
      </c>
      <c r="C26" s="6" t="n">
        <v>-2800000</v>
      </c>
      <c r="D26" s="7" t="n">
        <f aca="false">B26-C26</f>
        <v>-700000</v>
      </c>
      <c r="E26" s="8" t="n">
        <f aca="false">IF(C26=0,"-",D26/ABS(C26))</f>
        <v>-0.25</v>
      </c>
      <c r="F26" s="9" t="s">
        <v>374</v>
      </c>
    </row>
    <row r="27" customFormat="false" ht="15" hidden="false" customHeight="false" outlineLevel="0" collapsed="false">
      <c r="A27" s="10" t="s">
        <v>281</v>
      </c>
      <c r="B27" s="11" t="n">
        <f aca="false">B16+B17+B18+B19+B20+B21+B22+B23+B24+B25+B26</f>
        <v>374900000</v>
      </c>
      <c r="C27" s="11" t="n">
        <f aca="false">C16+C17+C18+C19+C20+C21+C22+C23+C24+C25+C26</f>
        <v>371000000</v>
      </c>
      <c r="D27" s="11" t="n">
        <f aca="false">D16+D17+D18+D19+D20+D21+D22+D23+D24+D25+D26</f>
        <v>3900000</v>
      </c>
      <c r="E27" s="12"/>
      <c r="F27" s="12"/>
    </row>
  </sheetData>
  <mergeCells count="4">
    <mergeCell ref="A1:F1"/>
    <mergeCell ref="A2:F2"/>
    <mergeCell ref="A5:F5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375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247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  <c r="G5" s="4"/>
      <c r="H5" s="4"/>
      <c r="I5" s="4"/>
      <c r="J5" s="4"/>
    </row>
    <row r="6" customFormat="false" ht="15" hidden="false" customHeight="false" outlineLevel="0" collapsed="false">
      <c r="A6" s="5" t="s">
        <v>376</v>
      </c>
      <c r="B6" s="6" t="n">
        <v>5200000</v>
      </c>
      <c r="C6" s="6" t="n">
        <v>5000000</v>
      </c>
      <c r="D6" s="6" t="n">
        <v>5100000</v>
      </c>
      <c r="E6" s="7" t="n">
        <f aca="false">-(B6-C6)</f>
        <v>-200000</v>
      </c>
      <c r="F6" s="8" t="n">
        <f aca="false">IF(C6=0,"-",E6/ABS(C6))</f>
        <v>-0.04</v>
      </c>
      <c r="G6" s="13" t="s">
        <v>43</v>
      </c>
      <c r="H6" s="7" t="n">
        <f aca="false">-(B6-D6)</f>
        <v>-100000</v>
      </c>
      <c r="I6" s="8" t="n">
        <f aca="false">IF(D6=0,"-",H6/ABS(D6))</f>
        <v>-0.0196078431372549</v>
      </c>
      <c r="J6" s="13" t="s">
        <v>43</v>
      </c>
    </row>
    <row r="7" customFormat="false" ht="23.85" hidden="false" customHeight="false" outlineLevel="0" collapsed="false">
      <c r="A7" s="5" t="s">
        <v>377</v>
      </c>
      <c r="B7" s="6" t="n">
        <v>3800000</v>
      </c>
      <c r="C7" s="6" t="n">
        <v>3500000</v>
      </c>
      <c r="D7" s="6" t="n">
        <v>3600000</v>
      </c>
      <c r="E7" s="7" t="n">
        <f aca="false">-(B7-C7)</f>
        <v>-300000</v>
      </c>
      <c r="F7" s="8" t="n">
        <f aca="false">IF(C7=0,"-",E7/ABS(C7))</f>
        <v>-0.0857142857142857</v>
      </c>
      <c r="G7" s="9" t="s">
        <v>378</v>
      </c>
      <c r="H7" s="7" t="n">
        <f aca="false">-(B7-D7)</f>
        <v>-200000</v>
      </c>
      <c r="I7" s="8" t="n">
        <f aca="false">IF(D7=0,"-",H7/ABS(D7))</f>
        <v>-0.0555555555555556</v>
      </c>
      <c r="J7" s="9" t="s">
        <v>379</v>
      </c>
    </row>
    <row r="8" customFormat="false" ht="15" hidden="false" customHeight="false" outlineLevel="0" collapsed="false">
      <c r="A8" s="5" t="s">
        <v>380</v>
      </c>
      <c r="B8" s="6" t="n">
        <v>2200000</v>
      </c>
      <c r="C8" s="6" t="n">
        <v>2100000</v>
      </c>
      <c r="D8" s="6" t="n">
        <v>2150000</v>
      </c>
      <c r="E8" s="7" t="n">
        <f aca="false">-(B8-C8)</f>
        <v>-100000</v>
      </c>
      <c r="F8" s="8" t="n">
        <f aca="false">IF(C8=0,"-",E8/ABS(C8))</f>
        <v>-0.0476190476190476</v>
      </c>
      <c r="G8" s="13" t="s">
        <v>43</v>
      </c>
      <c r="H8" s="7" t="n">
        <f aca="false">-(B8-D8)</f>
        <v>-50000</v>
      </c>
      <c r="I8" s="8" t="n">
        <f aca="false">IF(D8=0,"-",H8/ABS(D8))</f>
        <v>-0.0232558139534884</v>
      </c>
      <c r="J8" s="13" t="s">
        <v>43</v>
      </c>
    </row>
    <row r="9" customFormat="false" ht="15" hidden="false" customHeight="false" outlineLevel="0" collapsed="false">
      <c r="A9" s="5" t="s">
        <v>381</v>
      </c>
      <c r="B9" s="6" t="n">
        <v>850000</v>
      </c>
      <c r="C9" s="6" t="n">
        <v>780000</v>
      </c>
      <c r="D9" s="6" t="n">
        <v>820000</v>
      </c>
      <c r="E9" s="7" t="n">
        <f aca="false">-(B9-C9)</f>
        <v>-70000</v>
      </c>
      <c r="F9" s="8" t="n">
        <f aca="false">IF(C9=0,"-",E9/ABS(C9))</f>
        <v>-0.0897435897435897</v>
      </c>
      <c r="G9" s="9" t="s">
        <v>59</v>
      </c>
      <c r="H9" s="7" t="n">
        <f aca="false">-(B9-D9)</f>
        <v>-30000</v>
      </c>
      <c r="I9" s="8" t="n">
        <f aca="false">IF(D9=0,"-",H9/ABS(D9))</f>
        <v>-0.0365853658536585</v>
      </c>
      <c r="J9" s="13" t="s">
        <v>43</v>
      </c>
    </row>
    <row r="10" customFormat="false" ht="15" hidden="false" customHeight="false" outlineLevel="0" collapsed="false">
      <c r="A10" s="5" t="s">
        <v>382</v>
      </c>
      <c r="B10" s="6" t="n">
        <v>5700000</v>
      </c>
      <c r="C10" s="6" t="n">
        <v>5650000</v>
      </c>
      <c r="D10" s="6" t="n">
        <v>5680000</v>
      </c>
      <c r="E10" s="7" t="n">
        <f aca="false">-(B10-C10)</f>
        <v>-50000</v>
      </c>
      <c r="F10" s="8" t="n">
        <f aca="false">IF(C10=0,"-",E10/ABS(C10))</f>
        <v>-0.00884955752212389</v>
      </c>
      <c r="G10" s="13" t="s">
        <v>43</v>
      </c>
      <c r="H10" s="7" t="n">
        <f aca="false">-(B10-D10)</f>
        <v>-20000</v>
      </c>
      <c r="I10" s="8" t="n">
        <f aca="false">IF(D10=0,"-",H10/ABS(D10))</f>
        <v>-0.00352112676056338</v>
      </c>
      <c r="J10" s="13" t="s">
        <v>43</v>
      </c>
    </row>
    <row r="11" customFormat="false" ht="23.85" hidden="false" customHeight="false" outlineLevel="0" collapsed="false">
      <c r="A11" s="5" t="s">
        <v>383</v>
      </c>
      <c r="B11" s="6" t="n">
        <v>1500000</v>
      </c>
      <c r="C11" s="6" t="n">
        <v>1200000</v>
      </c>
      <c r="D11" s="6" t="n">
        <v>1400000</v>
      </c>
      <c r="E11" s="7" t="n">
        <f aca="false">-(B11-C11)</f>
        <v>-300000</v>
      </c>
      <c r="F11" s="8" t="n">
        <f aca="false">IF(C11=0,"-",E11/ABS(C11))</f>
        <v>-0.25</v>
      </c>
      <c r="G11" s="9" t="s">
        <v>384</v>
      </c>
      <c r="H11" s="7" t="n">
        <f aca="false">-(B11-D11)</f>
        <v>-100000</v>
      </c>
      <c r="I11" s="8" t="n">
        <f aca="false">IF(D11=0,"-",H11/ABS(D11))</f>
        <v>-0.0714285714285714</v>
      </c>
      <c r="J11" s="9" t="s">
        <v>385</v>
      </c>
    </row>
    <row r="12" customFormat="false" ht="15" hidden="false" customHeight="false" outlineLevel="0" collapsed="false">
      <c r="A12" s="5" t="s">
        <v>386</v>
      </c>
      <c r="B12" s="6" t="n">
        <v>1800000</v>
      </c>
      <c r="C12" s="6" t="n">
        <v>1800000</v>
      </c>
      <c r="D12" s="6" t="n">
        <v>1800000</v>
      </c>
      <c r="E12" s="7" t="n">
        <f aca="false">-(B12-C12)</f>
        <v>-0</v>
      </c>
      <c r="F12" s="8" t="n">
        <f aca="false">IF(C12=0,"-",E12/ABS(C12))</f>
        <v>-0</v>
      </c>
      <c r="G12" s="13" t="s">
        <v>43</v>
      </c>
      <c r="H12" s="7" t="n">
        <f aca="false">-(B12-D12)</f>
        <v>-0</v>
      </c>
      <c r="I12" s="8" t="n">
        <f aca="false">IF(D12=0,"-",H12/ABS(D12))</f>
        <v>-0</v>
      </c>
      <c r="J12" s="13" t="s">
        <v>43</v>
      </c>
    </row>
    <row r="13" customFormat="false" ht="15" hidden="false" customHeight="false" outlineLevel="0" collapsed="false">
      <c r="A13" s="10" t="s">
        <v>260</v>
      </c>
      <c r="B13" s="11" t="n">
        <f aca="false">B6+B7+B8+B9+B10+B11+B12</f>
        <v>21050000</v>
      </c>
      <c r="C13" s="11" t="n">
        <f aca="false">C6+C7+C8+C9+C10+C11+C12</f>
        <v>20030000</v>
      </c>
      <c r="D13" s="11" t="n">
        <f aca="false">D6+D7+D8+D9+D10+D11+D12</f>
        <v>20550000</v>
      </c>
      <c r="E13" s="11" t="n">
        <f aca="false">E6+E7+E8+E9+E10+E11+E12</f>
        <v>-1020000</v>
      </c>
      <c r="F13" s="12"/>
      <c r="G13" s="12"/>
      <c r="H13" s="11" t="n">
        <f aca="false">H6+H7+H8+H9+H10+H11+H12</f>
        <v>-500000</v>
      </c>
      <c r="I13" s="12"/>
      <c r="J13" s="12"/>
    </row>
  </sheetData>
  <mergeCells count="3">
    <mergeCell ref="A1:J1"/>
    <mergeCell ref="A2:J2"/>
    <mergeCell ref="A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387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262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7" t="s">
        <v>2</v>
      </c>
      <c r="B4" s="17" t="s">
        <v>66</v>
      </c>
      <c r="C4" s="17" t="s">
        <v>67</v>
      </c>
      <c r="D4" s="17" t="s">
        <v>68</v>
      </c>
      <c r="E4" s="17" t="s">
        <v>69</v>
      </c>
      <c r="F4" s="17" t="s">
        <v>70</v>
      </c>
    </row>
    <row r="5" customFormat="false" ht="15" hidden="false" customHeight="false" outlineLevel="0" collapsed="false">
      <c r="A5" s="4" t="s">
        <v>248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376</v>
      </c>
      <c r="B6" s="6" t="n">
        <v>10200000</v>
      </c>
      <c r="C6" s="6" t="n">
        <v>9900000</v>
      </c>
      <c r="D6" s="7" t="n">
        <f aca="false">-(B6-C6)</f>
        <v>-300000</v>
      </c>
      <c r="E6" s="8" t="n">
        <f aca="false">IF(C6=0,"-",D6/ABS(C6))</f>
        <v>-0.0303030303030303</v>
      </c>
      <c r="F6" s="13" t="s">
        <v>43</v>
      </c>
    </row>
    <row r="7" customFormat="false" ht="15" hidden="false" customHeight="false" outlineLevel="0" collapsed="false">
      <c r="A7" s="5" t="s">
        <v>377</v>
      </c>
      <c r="B7" s="6" t="n">
        <v>7300000</v>
      </c>
      <c r="C7" s="6" t="n">
        <v>6800000</v>
      </c>
      <c r="D7" s="7" t="n">
        <f aca="false">-(B7-C7)</f>
        <v>-500000</v>
      </c>
      <c r="E7" s="8" t="n">
        <f aca="false">IF(C7=0,"-",D7/ABS(C7))</f>
        <v>-0.0735294117647059</v>
      </c>
      <c r="F7" s="9" t="s">
        <v>388</v>
      </c>
    </row>
    <row r="8" customFormat="false" ht="15" hidden="false" customHeight="false" outlineLevel="0" collapsed="false">
      <c r="A8" s="5" t="s">
        <v>380</v>
      </c>
      <c r="B8" s="6" t="n">
        <v>4300000</v>
      </c>
      <c r="C8" s="6" t="n">
        <v>4150000</v>
      </c>
      <c r="D8" s="7" t="n">
        <f aca="false">-(B8-C8)</f>
        <v>-150000</v>
      </c>
      <c r="E8" s="8" t="n">
        <f aca="false">IF(C8=0,"-",D8/ABS(C8))</f>
        <v>-0.036144578313253</v>
      </c>
      <c r="F8" s="13" t="s">
        <v>43</v>
      </c>
    </row>
    <row r="9" customFormat="false" ht="15" hidden="false" customHeight="false" outlineLevel="0" collapsed="false">
      <c r="A9" s="5" t="s">
        <v>381</v>
      </c>
      <c r="B9" s="6" t="n">
        <v>1630000</v>
      </c>
      <c r="C9" s="6" t="n">
        <v>1570000</v>
      </c>
      <c r="D9" s="7" t="n">
        <f aca="false">-(B9-C9)</f>
        <v>-60000</v>
      </c>
      <c r="E9" s="8" t="n">
        <f aca="false">IF(C9=0,"-",D9/ABS(C9))</f>
        <v>-0.0382165605095541</v>
      </c>
      <c r="F9" s="13" t="s">
        <v>43</v>
      </c>
    </row>
    <row r="10" customFormat="false" ht="15" hidden="false" customHeight="false" outlineLevel="0" collapsed="false">
      <c r="A10" s="5" t="s">
        <v>382</v>
      </c>
      <c r="B10" s="6" t="n">
        <v>11350000</v>
      </c>
      <c r="C10" s="6" t="n">
        <v>11280000</v>
      </c>
      <c r="D10" s="7" t="n">
        <f aca="false">-(B10-C10)</f>
        <v>-70000</v>
      </c>
      <c r="E10" s="8" t="n">
        <f aca="false">IF(C10=0,"-",D10/ABS(C10))</f>
        <v>-0.00620567375886525</v>
      </c>
      <c r="F10" s="13" t="s">
        <v>43</v>
      </c>
    </row>
    <row r="11" customFormat="false" ht="15" hidden="false" customHeight="false" outlineLevel="0" collapsed="false">
      <c r="A11" s="5" t="s">
        <v>383</v>
      </c>
      <c r="B11" s="6" t="n">
        <v>2700000</v>
      </c>
      <c r="C11" s="6" t="n">
        <v>2400000</v>
      </c>
      <c r="D11" s="7" t="n">
        <f aca="false">-(B11-C11)</f>
        <v>-300000</v>
      </c>
      <c r="E11" s="8" t="n">
        <f aca="false">IF(C11=0,"-",D11/ABS(C11))</f>
        <v>-0.125</v>
      </c>
      <c r="F11" s="9" t="s">
        <v>389</v>
      </c>
    </row>
    <row r="12" customFormat="false" ht="15" hidden="false" customHeight="false" outlineLevel="0" collapsed="false">
      <c r="A12" s="5" t="s">
        <v>386</v>
      </c>
      <c r="B12" s="6" t="n">
        <v>3600000</v>
      </c>
      <c r="C12" s="6" t="n">
        <v>3600000</v>
      </c>
      <c r="D12" s="7" t="n">
        <f aca="false">-(B12-C12)</f>
        <v>-0</v>
      </c>
      <c r="E12" s="8" t="n">
        <f aca="false">IF(C12=0,"-",D12/ABS(C12))</f>
        <v>-0</v>
      </c>
      <c r="F12" s="13" t="s">
        <v>43</v>
      </c>
    </row>
    <row r="13" customFormat="false" ht="15" hidden="false" customHeight="false" outlineLevel="0" collapsed="false">
      <c r="A13" s="10" t="s">
        <v>260</v>
      </c>
      <c r="B13" s="11" t="n">
        <f aca="false">B6+B7+B8+B9+B10+B11+B12</f>
        <v>41080000</v>
      </c>
      <c r="C13" s="11" t="n">
        <f aca="false">C6+C7+C8+C9+C10+C11+C12</f>
        <v>39700000</v>
      </c>
      <c r="D13" s="11" t="n">
        <f aca="false">D6+D7+D8+D9+D10+D11+D12</f>
        <v>-1380000</v>
      </c>
      <c r="E13" s="12"/>
      <c r="F13" s="12"/>
    </row>
  </sheetData>
  <mergeCells count="3">
    <mergeCell ref="A1:F1"/>
    <mergeCell ref="A2:F2"/>
    <mergeCell ref="A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8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65"/>
  </cols>
  <sheetData>
    <row r="1" customFormat="false" ht="17.35" hidden="false" customHeight="false" outlineLevel="0" collapsed="false">
      <c r="A1" s="1" t="s">
        <v>390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265</v>
      </c>
      <c r="B2" s="2"/>
      <c r="C2" s="2"/>
      <c r="D2" s="2"/>
      <c r="E2" s="2"/>
      <c r="F2" s="2"/>
    </row>
    <row r="4" customFormat="false" ht="45" hidden="false" customHeight="true" outlineLevel="0" collapsed="false">
      <c r="A4" s="18" t="s">
        <v>2</v>
      </c>
      <c r="B4" s="18" t="s">
        <v>86</v>
      </c>
      <c r="C4" s="18" t="s">
        <v>87</v>
      </c>
      <c r="D4" s="18" t="s">
        <v>88</v>
      </c>
      <c r="E4" s="18" t="s">
        <v>89</v>
      </c>
      <c r="F4" s="18" t="s">
        <v>90</v>
      </c>
    </row>
    <row r="5" customFormat="false" ht="15" hidden="false" customHeight="false" outlineLevel="0" collapsed="false">
      <c r="A5" s="4" t="s">
        <v>266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5" t="s">
        <v>391</v>
      </c>
      <c r="B6" s="6" t="n">
        <v>8500000</v>
      </c>
      <c r="C6" s="6" t="n">
        <v>9200000</v>
      </c>
      <c r="D6" s="7" t="n">
        <f aca="false">B6-C6</f>
        <v>-700000</v>
      </c>
      <c r="E6" s="8" t="n">
        <f aca="false">IF(C6=0,"-",D6/ABS(C6))</f>
        <v>-0.0760869565217391</v>
      </c>
      <c r="F6" s="9" t="s">
        <v>392</v>
      </c>
    </row>
    <row r="7" customFormat="false" ht="15" hidden="false" customHeight="false" outlineLevel="0" collapsed="false">
      <c r="A7" s="5" t="s">
        <v>393</v>
      </c>
      <c r="B7" s="6" t="n">
        <v>6200000</v>
      </c>
      <c r="C7" s="6" t="n">
        <v>5800000</v>
      </c>
      <c r="D7" s="7" t="n">
        <f aca="false">B7-C7</f>
        <v>400000</v>
      </c>
      <c r="E7" s="8" t="n">
        <f aca="false">IF(C7=0,"-",D7/ABS(C7))</f>
        <v>0.0689655172413793</v>
      </c>
      <c r="F7" s="9" t="s">
        <v>394</v>
      </c>
    </row>
    <row r="8" customFormat="false" ht="15" hidden="false" customHeight="false" outlineLevel="0" collapsed="false">
      <c r="A8" s="5" t="s">
        <v>395</v>
      </c>
      <c r="B8" s="6" t="n">
        <v>3400000</v>
      </c>
      <c r="C8" s="6" t="n">
        <v>2800000</v>
      </c>
      <c r="D8" s="7" t="n">
        <f aca="false">B8-C8</f>
        <v>600000</v>
      </c>
      <c r="E8" s="8" t="n">
        <f aca="false">IF(C8=0,"-",D8/ABS(C8))</f>
        <v>0.214285714285714</v>
      </c>
      <c r="F8" s="9" t="s">
        <v>396</v>
      </c>
    </row>
    <row r="9" customFormat="false" ht="15" hidden="false" customHeight="false" outlineLevel="0" collapsed="false">
      <c r="A9" s="10" t="s">
        <v>273</v>
      </c>
      <c r="B9" s="11" t="n">
        <f aca="false">B6+B7+B8</f>
        <v>18100000</v>
      </c>
      <c r="C9" s="11" t="n">
        <f aca="false">C6+C7+C8</f>
        <v>17800000</v>
      </c>
      <c r="D9" s="11" t="n">
        <f aca="false">D6+D7+D8</f>
        <v>300000</v>
      </c>
      <c r="E9" s="12"/>
      <c r="F9" s="12"/>
    </row>
    <row r="10" customFormat="false" ht="15" hidden="false" customHeight="false" outlineLevel="0" collapsed="false">
      <c r="A10" s="4" t="s">
        <v>274</v>
      </c>
      <c r="B10" s="4"/>
      <c r="C10" s="4"/>
      <c r="D10" s="4"/>
      <c r="E10" s="4"/>
      <c r="F10" s="4"/>
    </row>
    <row r="11" customFormat="false" ht="15" hidden="false" customHeight="false" outlineLevel="0" collapsed="false">
      <c r="A11" s="5" t="s">
        <v>397</v>
      </c>
      <c r="B11" s="6" t="n">
        <v>2800000</v>
      </c>
      <c r="C11" s="6" t="n">
        <v>2400000</v>
      </c>
      <c r="D11" s="7" t="n">
        <f aca="false">B11-C11</f>
        <v>400000</v>
      </c>
      <c r="E11" s="8" t="n">
        <f aca="false">IF(C11=0,"-",D11/ABS(C11))</f>
        <v>0.166666666666667</v>
      </c>
      <c r="F11" s="9" t="s">
        <v>398</v>
      </c>
    </row>
    <row r="12" customFormat="false" ht="15" hidden="false" customHeight="false" outlineLevel="0" collapsed="false">
      <c r="A12" s="5" t="s">
        <v>399</v>
      </c>
      <c r="B12" s="6" t="n">
        <v>5700000</v>
      </c>
      <c r="C12" s="6" t="n">
        <v>6300000</v>
      </c>
      <c r="D12" s="7" t="n">
        <f aca="false">B12-C12</f>
        <v>-600000</v>
      </c>
      <c r="E12" s="8" t="n">
        <f aca="false">IF(C12=0,"-",D12/ABS(C12))</f>
        <v>-0.0952380952380952</v>
      </c>
      <c r="F12" s="9" t="s">
        <v>400</v>
      </c>
    </row>
    <row r="13" customFormat="false" ht="15" hidden="false" customHeight="false" outlineLevel="0" collapsed="false">
      <c r="A13" s="10" t="s">
        <v>281</v>
      </c>
      <c r="B13" s="11" t="n">
        <f aca="false">B11+B12</f>
        <v>8500000</v>
      </c>
      <c r="C13" s="11" t="n">
        <f aca="false">C11+C12</f>
        <v>8700000</v>
      </c>
      <c r="D13" s="11" t="n">
        <f aca="false">D11+D12</f>
        <v>-200000</v>
      </c>
      <c r="E13" s="12"/>
      <c r="F13" s="12"/>
    </row>
  </sheetData>
  <mergeCells count="4">
    <mergeCell ref="A1:F1"/>
    <mergeCell ref="A2:F2"/>
    <mergeCell ref="A5:F5"/>
    <mergeCell ref="A10:F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2026-03-15T23:01:45Z</dcterms:created>
  <dc:creator>openpyxl</dc:creator>
  <dc:description/>
  <dc:language>en-US</dc:language>
  <cp:lastModifiedBy/>
  <dcterms:modified xsi:type="dcterms:W3CDTF">2026-03-15T23:01:45Z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